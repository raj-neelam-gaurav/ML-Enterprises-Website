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231"/>
  <workbookPr defaultThemeVersion="124226"/>
  <mc:AlternateContent xmlns:mc="http://schemas.openxmlformats.org/markup-compatibility/2006">
    <mc:Choice Requires="x15">
      <x15ac:absPath xmlns:x15ac="http://schemas.microsoft.com/office/spreadsheetml/2010/11/ac" url="D:\Adani Annupur Reservior\Credentials ML Enterprises\Running projects and completed projects deatil\"/>
    </mc:Choice>
  </mc:AlternateContent>
  <xr:revisionPtr revIDLastSave="0" documentId="13_ncr:1_{F610CA5A-ADDA-4420-8ABE-646AEB5C5E09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Current" sheetId="10" r:id="rId1"/>
    <sheet name="Completed" sheetId="5" r:id="rId2"/>
  </sheets>
  <definedNames>
    <definedName name="_xlnm._FilterDatabase" localSheetId="1" hidden="1">Completed!$A$2:$I$12</definedName>
    <definedName name="_xlnm._FilterDatabase" localSheetId="0" hidden="1">Current!$A$2:$H$11</definedName>
    <definedName name="Excel_BuiltIn_Print_Area_1_1">#REF!</definedName>
    <definedName name="Excel_BuiltIn_Print_Titles_4">#REF!</definedName>
    <definedName name="Excel_BuiltIn_Print_Titles_5">#REF!</definedName>
    <definedName name="_xlnm.Print_Area" localSheetId="1">Completed!$A$1:$I$14</definedName>
    <definedName name="_xlnm.Print_Area" localSheetId="0">Current!$A$1:$H$15</definedName>
    <definedName name="_xlnm.Print_Titles" localSheetId="1">Completed!$1:$2</definedName>
    <definedName name="_xlnm.Print_Titles" localSheetId="0">Current!$2:$2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4" i="5" l="1"/>
  <c r="A5" i="5" s="1"/>
  <c r="A6" i="5" s="1"/>
  <c r="A7" i="5" s="1"/>
  <c r="A8" i="5" s="1"/>
  <c r="A9" i="5" s="1"/>
  <c r="A10" i="5" s="1"/>
  <c r="A11" i="5" s="1"/>
  <c r="A12" i="5" s="1"/>
  <c r="H8" i="5"/>
  <c r="H5" i="5"/>
  <c r="G14" i="10"/>
  <c r="A5" i="10"/>
  <c r="A6" i="10" s="1"/>
  <c r="A7" i="10" s="1"/>
  <c r="A8" i="10" s="1"/>
  <c r="A9" i="10" s="1"/>
  <c r="A10" i="10" s="1"/>
  <c r="A11" i="10" s="1"/>
  <c r="H14" i="5" l="1"/>
</calcChain>
</file>

<file path=xl/sharedStrings.xml><?xml version="1.0" encoding="utf-8"?>
<sst xmlns="http://schemas.openxmlformats.org/spreadsheetml/2006/main" count="122" uniqueCount="80">
  <si>
    <t>LIST OF WORKS IN HAND</t>
  </si>
  <si>
    <t>Sr. No.</t>
  </si>
  <si>
    <t>Name of work</t>
  </si>
  <si>
    <t>Awarding Authority</t>
  </si>
  <si>
    <t>Acceptance Letter/Contract Agreement No. and Date</t>
  </si>
  <si>
    <t>M/s Adani Logistics Ltd</t>
  </si>
  <si>
    <t>Service Order No.5700266511 Dated 25.04.2019</t>
  </si>
  <si>
    <t>List of work executed in Rly. Private Siding</t>
  </si>
  <si>
    <t>Works Completed  Certificate Enclosed</t>
  </si>
  <si>
    <t>In-Hand/Completion Period as per C.A.</t>
  </si>
  <si>
    <t>Purchase Order No. 4502011440 dt 14-09-22</t>
  </si>
  <si>
    <r>
      <t xml:space="preserve">Civil Works for Extension of Existing Paved Yard at ICD Patli , Gurgaon Haryana. 
</t>
    </r>
    <r>
      <rPr>
        <b/>
        <sz val="10"/>
        <rFont val="Calibri"/>
        <family val="2"/>
        <scheme val="minor"/>
      </rPr>
      <t>Work allotted by Adani Logistics Ltd</t>
    </r>
  </si>
  <si>
    <t>Work In Progress</t>
  </si>
  <si>
    <r>
      <t xml:space="preserve">Proposed Railway Siding to AALL Food grains storage Silos Taking off from Khudiram Bose Pusa station on </t>
    </r>
    <r>
      <rPr>
        <b/>
        <sz val="10"/>
        <rFont val="Calibri"/>
        <family val="2"/>
        <scheme val="minor"/>
      </rPr>
      <t>Muzaffarpur – Samastipur</t>
    </r>
    <r>
      <rPr>
        <sz val="10"/>
        <rFont val="Calibri"/>
        <family val="2"/>
        <scheme val="minor"/>
      </rPr>
      <t xml:space="preserve"> section of Sonpur Division, East Central Railway. </t>
    </r>
    <r>
      <rPr>
        <b/>
        <sz val="10"/>
        <rFont val="Calibri"/>
        <family val="2"/>
        <scheme val="minor"/>
      </rPr>
      <t xml:space="preserve"> 
Work alloted by M/s Adani Agri Logistics Ltd</t>
    </r>
  </si>
  <si>
    <r>
      <t>Yard Extension (Railway Line no.4 Work) at ICD Patli Project.</t>
    </r>
    <r>
      <rPr>
        <b/>
        <sz val="10"/>
        <rFont val="Calibri"/>
        <family val="2"/>
        <scheme val="minor"/>
      </rPr>
      <t xml:space="preserve"> 
Work alloted by Adani Logsitics Ltd</t>
    </r>
  </si>
  <si>
    <t>M/s Adani Agri Logsitics (Darbhanga) Ltd</t>
  </si>
  <si>
    <r>
      <t xml:space="preserve">Appointment of Contractor for Grain Silo Project Civil Work at Darbhnaga, Bihar
</t>
    </r>
    <r>
      <rPr>
        <b/>
        <sz val="10"/>
        <rFont val="Calibri"/>
        <family val="2"/>
        <scheme val="minor"/>
      </rPr>
      <t>Work Alloted by Adani Agri Logistics Ltd</t>
    </r>
  </si>
  <si>
    <r>
      <t xml:space="preserve">Appointment of Contractor for Railway Work at Darbhanga, Bihar
</t>
    </r>
    <r>
      <rPr>
        <b/>
        <sz val="10"/>
        <rFont val="Calibri"/>
        <family val="2"/>
        <scheme val="minor"/>
      </rPr>
      <t>Work Alloted by Adani Agri Logistics Ltd</t>
    </r>
  </si>
  <si>
    <t>S.O. 4902000386 Dtd 7-2-23</t>
  </si>
  <si>
    <t>S.O. 4902000383 Dtd 24-01-2023</t>
  </si>
  <si>
    <t>S.O. No. 5702009624 Dtd 14.02.2023</t>
  </si>
  <si>
    <t>S.O. No. 5702007496 dt 21-12-2022</t>
  </si>
  <si>
    <t>TOTAL</t>
  </si>
  <si>
    <t>Date of Completion</t>
  </si>
  <si>
    <r>
      <t xml:space="preserve">Civil Works at DP WORLD RAIL LOGISTICS LTD (Formally Known as Kribhco Infrastructure Pvt Ltd) Private Freight Terminal at Pali, Haryana
</t>
    </r>
    <r>
      <rPr>
        <b/>
        <sz val="10"/>
        <rFont val="Calibri"/>
        <family val="2"/>
        <scheme val="minor"/>
      </rPr>
      <t>Work allotted by DP World Rail Logistics Pvt, Ltd</t>
    </r>
  </si>
  <si>
    <t>DP World Rail Logistics Pvt, Ltd</t>
  </si>
  <si>
    <t>PO NO .SCOKRLP03002058 Dtd 21.03.2022</t>
  </si>
  <si>
    <t>Pristine Mega Logistics Park Pvt Ltd</t>
  </si>
  <si>
    <t>Works Completed</t>
  </si>
  <si>
    <t>Contact Details</t>
  </si>
  <si>
    <t>Mr. Prashant Malwadkar Mobile No. 7391099051</t>
  </si>
  <si>
    <t>Mr. S N Pathak Mobile No. 8826692836</t>
  </si>
  <si>
    <t>Mr. MD Sultan Hussain Mobile No. 9873196466 &amp; Mr. Girender Sharma Mobile No. 8396096097</t>
  </si>
  <si>
    <r>
      <t xml:space="preserve">Railway &amp; Civil Work for Development of GATI Shakti Multi Model Crago Terminal (GCT) at Line No 10 of New Rewari Station on DFCCIL/Railway Land
</t>
    </r>
    <r>
      <rPr>
        <b/>
        <sz val="10"/>
        <rFont val="Calibri"/>
        <family val="2"/>
        <scheme val="minor"/>
      </rPr>
      <t>Work allotted by Pristine Mega Logistics Park Pvt Ltd</t>
    </r>
  </si>
  <si>
    <t>Wo No PMPPL/L No 10/New Rewari/2023 Dated 09.02.2023</t>
  </si>
  <si>
    <t>Experience Certificaate Enclosed Final Bill In Process</t>
  </si>
  <si>
    <t>DP WORLD RAIL LOGISTICS PVT LTD</t>
  </si>
  <si>
    <t>SCOKRLPO3006125 Dated 18.03.24</t>
  </si>
  <si>
    <t>SO-5702020150 Dtd 16.10.2024</t>
  </si>
  <si>
    <r>
      <t xml:space="preserve">Civil Works at Kilaraipur, Punjab
Work </t>
    </r>
    <r>
      <rPr>
        <b/>
        <sz val="10"/>
        <rFont val="Calibri"/>
        <family val="2"/>
        <scheme val="minor"/>
      </rPr>
      <t>Adani Logistics Ltd</t>
    </r>
  </si>
  <si>
    <t>Adani Agri Logsitics (Samastipur) Ltd</t>
  </si>
  <si>
    <t>Adani Logistics Ltd</t>
  </si>
  <si>
    <t>ADANI AGRI LOGISTICS (CHANDARI) LTD</t>
  </si>
  <si>
    <t>ADANI FORWARDING AGENT PVT LTD</t>
  </si>
  <si>
    <t>5702021055 Dtd 22.11.2024</t>
  </si>
  <si>
    <t>HM Agri Logistics Ltd</t>
  </si>
  <si>
    <t>Final Bill in Process</t>
  </si>
  <si>
    <r>
      <t xml:space="preserve">3rd Line And Railway Platform Work at Pali, Govindpuri,
Work Alloted by </t>
    </r>
    <r>
      <rPr>
        <b/>
        <sz val="10"/>
        <rFont val="Calibri"/>
        <family val="2"/>
        <scheme val="minor"/>
      </rPr>
      <t>DP World Rail Logistics Pvt Ltd</t>
    </r>
  </si>
  <si>
    <t>S.O. No- 5702022429 Dtd 30.12.2024</t>
  </si>
  <si>
    <t>S.O. No- 5702022139 Dtd 19.12.2024</t>
  </si>
  <si>
    <t>S.O. No- 5702022428 Dtd. 31.12.2024</t>
  </si>
  <si>
    <t>PO No 5702022738 dated 22-01-2025</t>
  </si>
  <si>
    <t>Ultratech Cement Limited</t>
  </si>
  <si>
    <t>Supply &amp; Execution of P-way Work , Supply &amp; Excection of OHE. PSI &amp; Telecom</t>
  </si>
  <si>
    <t>Civil work for paved yard, drain. Boundary wall, Electrical, PEB Warehouse  and FFS Work at DP World Panipat</t>
  </si>
  <si>
    <t>DP World Multimodal Logistics Panipat Private Limited</t>
  </si>
  <si>
    <t>Work in progress</t>
  </si>
  <si>
    <t>Name Of Contractor</t>
  </si>
  <si>
    <t>M L Enterprises LLP</t>
  </si>
  <si>
    <t>M L Enterprises</t>
  </si>
  <si>
    <t xml:space="preserve">M L Enterprises </t>
  </si>
  <si>
    <t>Name of Agency</t>
  </si>
  <si>
    <t xml:space="preserve">M L Enterprises LLP </t>
  </si>
  <si>
    <t>25.01.2025</t>
  </si>
  <si>
    <t>Value of Contract (in Rs.) Without GST</t>
  </si>
  <si>
    <t>SO No. 5702021065 Dtd 19.11.2024</t>
  </si>
  <si>
    <t>NT/CMZ/LOA-751 dated 23.01.2025</t>
  </si>
  <si>
    <t>Civil Works of Custom Yard at Nagpur ICD</t>
  </si>
  <si>
    <t>PO No 5702028277 dated 24-09-2025</t>
  </si>
  <si>
    <t>Civil Works of Silo Complex and Allied Facilities at Damoh, Madhya Pradesh for HM Agri Logistics Limited.</t>
  </si>
  <si>
    <t>Civil Work Package of Chandari Site at Uttar Pradesh of FCI AgriSilo Project
Work Alloted by ADANI AGRI LOGISTICS (CHANDARI) LTD</t>
  </si>
  <si>
    <t>Appointment of Contractor of OHE work at ICD Tumb
Work allotted by ADANI FORWARDING AGENT PVT LTD</t>
  </si>
  <si>
    <t>Civil Works of Silo Complex and Allied Facilities at Ujjain, Madhya Pradesh for HM Agri Logistics Limited.</t>
  </si>
  <si>
    <t>Civil Works of Silo Complex and Allied Facilities at Dhar, Madhya Pradesh for HM Agri Logistics Limited.</t>
  </si>
  <si>
    <t>Civil Works of Silo Complex and Allied Facilities at Guna, Madhya Pradesh for HM Agri Logistics Limited.</t>
  </si>
  <si>
    <t>Agreement dated 06/02/2025</t>
  </si>
  <si>
    <t>Work Order/Value of Work Executed  (in Rs. Including GST)</t>
  </si>
  <si>
    <t xml:space="preserve"> Completion Certificaate Enclosed Final Bill In Process</t>
  </si>
  <si>
    <t>Completion Certificaate Enclosed Final Bill In Process</t>
  </si>
  <si>
    <t>15.05.2025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</si>
</sst>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₹&quot;\ #,##0.00"/>
  </numFmts>
  <fonts count="8">
    <font>
      <sz val="11"/>
      <name val="Calibri"/>
    </font>
    <font>
      <b/>
      <sz val="14"/>
      <name val="Calibri"/>
      <family val="2"/>
      <scheme val="minor"/>
    </font>
    <font>
      <sz val="11"/>
      <name val="Calibri"/>
      <family val="2"/>
      <scheme val="minor"/>
    </font>
    <font>
      <b/>
      <sz val="10"/>
      <name val="Calibri"/>
      <family val="2"/>
      <scheme val="minor"/>
    </font>
    <font>
      <sz val="10"/>
      <name val="Calibri"/>
      <family val="2"/>
      <scheme val="minor"/>
    </font>
    <font>
      <b/>
      <sz val="11"/>
      <name val="Calibri"/>
      <family val="2"/>
      <scheme val="minor"/>
    </font>
    <font>
      <sz val="9"/>
      <color rgb="FF1F1F1F"/>
      <name val="Roboto"/>
    </font>
    <font>
      <sz val="8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43">
    <xf numFmtId="0" fontId="0" fillId="0" borderId="0" xfId="0">
      <alignment vertical="center"/>
    </xf>
    <xf numFmtId="0" fontId="2" fillId="0" borderId="0" xfId="0" applyFont="1" applyAlignment="1"/>
    <xf numFmtId="0" fontId="3" fillId="0" borderId="1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2" fillId="0" borderId="0" xfId="0" applyFont="1" applyAlignment="1">
      <alignment vertical="center" wrapText="1"/>
    </xf>
    <xf numFmtId="0" fontId="4" fillId="0" borderId="1" xfId="0" applyFont="1" applyBorder="1" applyAlignment="1">
      <alignment horizontal="left" vertical="top" wrapText="1"/>
    </xf>
    <xf numFmtId="0" fontId="4" fillId="0" borderId="3" xfId="0" applyFont="1" applyBorder="1" applyAlignment="1">
      <alignment horizontal="left" vertical="top" wrapText="1"/>
    </xf>
    <xf numFmtId="0" fontId="2" fillId="0" borderId="1" xfId="0" applyFont="1" applyBorder="1" applyAlignment="1">
      <alignment vertical="center" wrapText="1"/>
    </xf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/>
    </xf>
    <xf numFmtId="0" fontId="4" fillId="0" borderId="1" xfId="0" applyFont="1" applyBorder="1" applyAlignment="1">
      <alignment horizontal="left" vertical="center" wrapText="1"/>
    </xf>
    <xf numFmtId="164" fontId="4" fillId="0" borderId="1" xfId="0" applyNumberFormat="1" applyFont="1" applyBorder="1" applyAlignment="1">
      <alignment horizontal="right" vertical="center" wrapText="1"/>
    </xf>
    <xf numFmtId="0" fontId="4" fillId="0" borderId="0" xfId="0" applyFont="1" applyAlignment="1">
      <alignment horizontal="center" vertical="center" wrapText="1"/>
    </xf>
    <xf numFmtId="0" fontId="6" fillId="0" borderId="0" xfId="0" applyFont="1">
      <alignment vertical="center"/>
    </xf>
    <xf numFmtId="0" fontId="5" fillId="0" borderId="0" xfId="0" applyFont="1" applyAlignment="1">
      <alignment horizontal="center" vertical="center" wrapText="1"/>
    </xf>
    <xf numFmtId="0" fontId="5" fillId="0" borderId="0" xfId="0" applyFont="1" applyAlignment="1">
      <alignment vertical="center" wrapText="1"/>
    </xf>
    <xf numFmtId="14" fontId="4" fillId="0" borderId="1" xfId="0" applyNumberFormat="1" applyFont="1" applyBorder="1" applyAlignment="1">
      <alignment horizontal="center" vertical="center" wrapText="1"/>
    </xf>
    <xf numFmtId="14" fontId="4" fillId="0" borderId="3" xfId="0" applyNumberFormat="1" applyFont="1" applyBorder="1" applyAlignment="1">
      <alignment horizontal="center" vertical="center" wrapText="1"/>
    </xf>
    <xf numFmtId="164" fontId="5" fillId="0" borderId="1" xfId="0" applyNumberFormat="1" applyFont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5" fillId="2" borderId="0" xfId="0" applyFont="1" applyFill="1" applyAlignment="1">
      <alignment horizontal="center" vertical="center" wrapText="1"/>
    </xf>
    <xf numFmtId="0" fontId="2" fillId="2" borderId="0" xfId="0" applyFont="1" applyFill="1" applyAlignment="1">
      <alignment horizontal="center" vertical="center" wrapText="1"/>
    </xf>
    <xf numFmtId="0" fontId="2" fillId="2" borderId="0" xfId="0" applyFont="1" applyFill="1" applyAlignment="1">
      <alignment horizontal="center"/>
    </xf>
    <xf numFmtId="14" fontId="4" fillId="0" borderId="0" xfId="0" applyNumberFormat="1" applyFont="1" applyAlignment="1">
      <alignment horizontal="center" vertical="center" wrapText="1"/>
    </xf>
    <xf numFmtId="0" fontId="4" fillId="2" borderId="0" xfId="0" applyFont="1" applyFill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5" fillId="0" borderId="0" xfId="0" applyFont="1" applyAlignment="1">
      <alignment horizontal="center"/>
    </xf>
    <xf numFmtId="164" fontId="4" fillId="0" borderId="0" xfId="0" applyNumberFormat="1" applyFont="1" applyAlignment="1">
      <alignment horizontal="right" vertical="center" wrapText="1"/>
    </xf>
    <xf numFmtId="164" fontId="5" fillId="0" borderId="0" xfId="0" applyNumberFormat="1" applyFont="1" applyAlignment="1">
      <alignment horizontal="center" vertical="center" wrapText="1"/>
    </xf>
    <xf numFmtId="164" fontId="4" fillId="0" borderId="3" xfId="0" applyNumberFormat="1" applyFont="1" applyBorder="1" applyAlignment="1">
      <alignment horizontal="center" vertical="center" wrapText="1"/>
    </xf>
    <xf numFmtId="164" fontId="4" fillId="0" borderId="1" xfId="0" applyNumberFormat="1" applyFont="1" applyBorder="1" applyAlignment="1">
      <alignment horizontal="center" vertical="center" wrapText="1"/>
    </xf>
    <xf numFmtId="0" fontId="2" fillId="0" borderId="0" xfId="0" applyFont="1" applyAlignment="1">
      <alignment wrapText="1"/>
    </xf>
    <xf numFmtId="0" fontId="6" fillId="0" borderId="0" xfId="0" applyFont="1" applyAlignment="1">
      <alignment vertical="center" wrapText="1"/>
    </xf>
    <xf numFmtId="164" fontId="4" fillId="2" borderId="3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wrapText="1"/>
    </xf>
    <xf numFmtId="164" fontId="4" fillId="2" borderId="1" xfId="0" applyNumberFormat="1" applyFont="1" applyFill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</cellXfs>
  <cellStyles count="1">
    <cellStyle name="Normal" xfId="0" builtinId="0"/>
  </cellStyles>
  <dxfs count="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H20"/>
  <sheetViews>
    <sheetView tabSelected="1" view="pageBreakPreview" topLeftCell="A5" zoomScaleNormal="100" zoomScaleSheetLayoutView="100" workbookViewId="0">
      <selection activeCell="G14" sqref="G14"/>
    </sheetView>
  </sheetViews>
  <sheetFormatPr defaultRowHeight="14.5"/>
  <cols>
    <col min="1" max="1" width="7.54296875" style="26" customWidth="1"/>
    <col min="2" max="2" width="43.6328125" style="36" customWidth="1"/>
    <col min="3" max="3" width="17.7265625" style="1" bestFit="1" customWidth="1"/>
    <col min="4" max="4" width="30" style="12" bestFit="1" customWidth="1"/>
    <col min="5" max="5" width="34.36328125" style="12" customWidth="1"/>
    <col min="6" max="6" width="29.54296875" style="12" hidden="1" customWidth="1"/>
    <col min="7" max="7" width="21.1796875" style="12" customWidth="1"/>
    <col min="8" max="8" width="22" style="12" customWidth="1"/>
    <col min="9" max="256" width="9.1796875" style="1"/>
    <col min="257" max="257" width="3.81640625" style="1" customWidth="1"/>
    <col min="258" max="258" width="57.54296875" style="1" customWidth="1"/>
    <col min="259" max="259" width="16.54296875" style="1" customWidth="1"/>
    <col min="260" max="260" width="29.54296875" style="1" customWidth="1"/>
    <col min="261" max="261" width="17.54296875" style="1" customWidth="1"/>
    <col min="262" max="262" width="16.453125" style="1" customWidth="1"/>
    <col min="263" max="263" width="9.1796875" style="1"/>
    <col min="264" max="264" width="10" style="1" bestFit="1" customWidth="1"/>
    <col min="265" max="512" width="9.1796875" style="1"/>
    <col min="513" max="513" width="3.81640625" style="1" customWidth="1"/>
    <col min="514" max="514" width="57.54296875" style="1" customWidth="1"/>
    <col min="515" max="515" width="16.54296875" style="1" customWidth="1"/>
    <col min="516" max="516" width="29.54296875" style="1" customWidth="1"/>
    <col min="517" max="517" width="17.54296875" style="1" customWidth="1"/>
    <col min="518" max="518" width="16.453125" style="1" customWidth="1"/>
    <col min="519" max="519" width="9.1796875" style="1"/>
    <col min="520" max="520" width="10" style="1" bestFit="1" customWidth="1"/>
    <col min="521" max="768" width="9.1796875" style="1"/>
    <col min="769" max="769" width="3.81640625" style="1" customWidth="1"/>
    <col min="770" max="770" width="57.54296875" style="1" customWidth="1"/>
    <col min="771" max="771" width="16.54296875" style="1" customWidth="1"/>
    <col min="772" max="772" width="29.54296875" style="1" customWidth="1"/>
    <col min="773" max="773" width="17.54296875" style="1" customWidth="1"/>
    <col min="774" max="774" width="16.453125" style="1" customWidth="1"/>
    <col min="775" max="775" width="9.1796875" style="1"/>
    <col min="776" max="776" width="10" style="1" bestFit="1" customWidth="1"/>
    <col min="777" max="1024" width="9.1796875" style="1"/>
    <col min="1025" max="1025" width="3.81640625" style="1" customWidth="1"/>
    <col min="1026" max="1026" width="57.54296875" style="1" customWidth="1"/>
    <col min="1027" max="1027" width="16.54296875" style="1" customWidth="1"/>
    <col min="1028" max="1028" width="29.54296875" style="1" customWidth="1"/>
    <col min="1029" max="1029" width="17.54296875" style="1" customWidth="1"/>
    <col min="1030" max="1030" width="16.453125" style="1" customWidth="1"/>
    <col min="1031" max="1031" width="9.1796875" style="1"/>
    <col min="1032" max="1032" width="10" style="1" bestFit="1" customWidth="1"/>
    <col min="1033" max="1280" width="9.1796875" style="1"/>
    <col min="1281" max="1281" width="3.81640625" style="1" customWidth="1"/>
    <col min="1282" max="1282" width="57.54296875" style="1" customWidth="1"/>
    <col min="1283" max="1283" width="16.54296875" style="1" customWidth="1"/>
    <col min="1284" max="1284" width="29.54296875" style="1" customWidth="1"/>
    <col min="1285" max="1285" width="17.54296875" style="1" customWidth="1"/>
    <col min="1286" max="1286" width="16.453125" style="1" customWidth="1"/>
    <col min="1287" max="1287" width="9.1796875" style="1"/>
    <col min="1288" max="1288" width="10" style="1" bestFit="1" customWidth="1"/>
    <col min="1289" max="1536" width="9.1796875" style="1"/>
    <col min="1537" max="1537" width="3.81640625" style="1" customWidth="1"/>
    <col min="1538" max="1538" width="57.54296875" style="1" customWidth="1"/>
    <col min="1539" max="1539" width="16.54296875" style="1" customWidth="1"/>
    <col min="1540" max="1540" width="29.54296875" style="1" customWidth="1"/>
    <col min="1541" max="1541" width="17.54296875" style="1" customWidth="1"/>
    <col min="1542" max="1542" width="16.453125" style="1" customWidth="1"/>
    <col min="1543" max="1543" width="9.1796875" style="1"/>
    <col min="1544" max="1544" width="10" style="1" bestFit="1" customWidth="1"/>
    <col min="1545" max="1792" width="9.1796875" style="1"/>
    <col min="1793" max="1793" width="3.81640625" style="1" customWidth="1"/>
    <col min="1794" max="1794" width="57.54296875" style="1" customWidth="1"/>
    <col min="1795" max="1795" width="16.54296875" style="1" customWidth="1"/>
    <col min="1796" max="1796" width="29.54296875" style="1" customWidth="1"/>
    <col min="1797" max="1797" width="17.54296875" style="1" customWidth="1"/>
    <col min="1798" max="1798" width="16.453125" style="1" customWidth="1"/>
    <col min="1799" max="1799" width="9.1796875" style="1"/>
    <col min="1800" max="1800" width="10" style="1" bestFit="1" customWidth="1"/>
    <col min="1801" max="2048" width="9.1796875" style="1"/>
    <col min="2049" max="2049" width="3.81640625" style="1" customWidth="1"/>
    <col min="2050" max="2050" width="57.54296875" style="1" customWidth="1"/>
    <col min="2051" max="2051" width="16.54296875" style="1" customWidth="1"/>
    <col min="2052" max="2052" width="29.54296875" style="1" customWidth="1"/>
    <col min="2053" max="2053" width="17.54296875" style="1" customWidth="1"/>
    <col min="2054" max="2054" width="16.453125" style="1" customWidth="1"/>
    <col min="2055" max="2055" width="9.1796875" style="1"/>
    <col min="2056" max="2056" width="10" style="1" bestFit="1" customWidth="1"/>
    <col min="2057" max="2304" width="9.1796875" style="1"/>
    <col min="2305" max="2305" width="3.81640625" style="1" customWidth="1"/>
    <col min="2306" max="2306" width="57.54296875" style="1" customWidth="1"/>
    <col min="2307" max="2307" width="16.54296875" style="1" customWidth="1"/>
    <col min="2308" max="2308" width="29.54296875" style="1" customWidth="1"/>
    <col min="2309" max="2309" width="17.54296875" style="1" customWidth="1"/>
    <col min="2310" max="2310" width="16.453125" style="1" customWidth="1"/>
    <col min="2311" max="2311" width="9.1796875" style="1"/>
    <col min="2312" max="2312" width="10" style="1" bestFit="1" customWidth="1"/>
    <col min="2313" max="2560" width="9.1796875" style="1"/>
    <col min="2561" max="2561" width="3.81640625" style="1" customWidth="1"/>
    <col min="2562" max="2562" width="57.54296875" style="1" customWidth="1"/>
    <col min="2563" max="2563" width="16.54296875" style="1" customWidth="1"/>
    <col min="2564" max="2564" width="29.54296875" style="1" customWidth="1"/>
    <col min="2565" max="2565" width="17.54296875" style="1" customWidth="1"/>
    <col min="2566" max="2566" width="16.453125" style="1" customWidth="1"/>
    <col min="2567" max="2567" width="9.1796875" style="1"/>
    <col min="2568" max="2568" width="10" style="1" bestFit="1" customWidth="1"/>
    <col min="2569" max="2816" width="9.1796875" style="1"/>
    <col min="2817" max="2817" width="3.81640625" style="1" customWidth="1"/>
    <col min="2818" max="2818" width="57.54296875" style="1" customWidth="1"/>
    <col min="2819" max="2819" width="16.54296875" style="1" customWidth="1"/>
    <col min="2820" max="2820" width="29.54296875" style="1" customWidth="1"/>
    <col min="2821" max="2821" width="17.54296875" style="1" customWidth="1"/>
    <col min="2822" max="2822" width="16.453125" style="1" customWidth="1"/>
    <col min="2823" max="2823" width="9.1796875" style="1"/>
    <col min="2824" max="2824" width="10" style="1" bestFit="1" customWidth="1"/>
    <col min="2825" max="3072" width="9.1796875" style="1"/>
    <col min="3073" max="3073" width="3.81640625" style="1" customWidth="1"/>
    <col min="3074" max="3074" width="57.54296875" style="1" customWidth="1"/>
    <col min="3075" max="3075" width="16.54296875" style="1" customWidth="1"/>
    <col min="3076" max="3076" width="29.54296875" style="1" customWidth="1"/>
    <col min="3077" max="3077" width="17.54296875" style="1" customWidth="1"/>
    <col min="3078" max="3078" width="16.453125" style="1" customWidth="1"/>
    <col min="3079" max="3079" width="9.1796875" style="1"/>
    <col min="3080" max="3080" width="10" style="1" bestFit="1" customWidth="1"/>
    <col min="3081" max="3328" width="9.1796875" style="1"/>
    <col min="3329" max="3329" width="3.81640625" style="1" customWidth="1"/>
    <col min="3330" max="3330" width="57.54296875" style="1" customWidth="1"/>
    <col min="3331" max="3331" width="16.54296875" style="1" customWidth="1"/>
    <col min="3332" max="3332" width="29.54296875" style="1" customWidth="1"/>
    <col min="3333" max="3333" width="17.54296875" style="1" customWidth="1"/>
    <col min="3334" max="3334" width="16.453125" style="1" customWidth="1"/>
    <col min="3335" max="3335" width="9.1796875" style="1"/>
    <col min="3336" max="3336" width="10" style="1" bestFit="1" customWidth="1"/>
    <col min="3337" max="3584" width="9.1796875" style="1"/>
    <col min="3585" max="3585" width="3.81640625" style="1" customWidth="1"/>
    <col min="3586" max="3586" width="57.54296875" style="1" customWidth="1"/>
    <col min="3587" max="3587" width="16.54296875" style="1" customWidth="1"/>
    <col min="3588" max="3588" width="29.54296875" style="1" customWidth="1"/>
    <col min="3589" max="3589" width="17.54296875" style="1" customWidth="1"/>
    <col min="3590" max="3590" width="16.453125" style="1" customWidth="1"/>
    <col min="3591" max="3591" width="9.1796875" style="1"/>
    <col min="3592" max="3592" width="10" style="1" bestFit="1" customWidth="1"/>
    <col min="3593" max="3840" width="9.1796875" style="1"/>
    <col min="3841" max="3841" width="3.81640625" style="1" customWidth="1"/>
    <col min="3842" max="3842" width="57.54296875" style="1" customWidth="1"/>
    <col min="3843" max="3843" width="16.54296875" style="1" customWidth="1"/>
    <col min="3844" max="3844" width="29.54296875" style="1" customWidth="1"/>
    <col min="3845" max="3845" width="17.54296875" style="1" customWidth="1"/>
    <col min="3846" max="3846" width="16.453125" style="1" customWidth="1"/>
    <col min="3847" max="3847" width="9.1796875" style="1"/>
    <col min="3848" max="3848" width="10" style="1" bestFit="1" customWidth="1"/>
    <col min="3849" max="4096" width="9.1796875" style="1"/>
    <col min="4097" max="4097" width="3.81640625" style="1" customWidth="1"/>
    <col min="4098" max="4098" width="57.54296875" style="1" customWidth="1"/>
    <col min="4099" max="4099" width="16.54296875" style="1" customWidth="1"/>
    <col min="4100" max="4100" width="29.54296875" style="1" customWidth="1"/>
    <col min="4101" max="4101" width="17.54296875" style="1" customWidth="1"/>
    <col min="4102" max="4102" width="16.453125" style="1" customWidth="1"/>
    <col min="4103" max="4103" width="9.1796875" style="1"/>
    <col min="4104" max="4104" width="10" style="1" bestFit="1" customWidth="1"/>
    <col min="4105" max="4352" width="9.1796875" style="1"/>
    <col min="4353" max="4353" width="3.81640625" style="1" customWidth="1"/>
    <col min="4354" max="4354" width="57.54296875" style="1" customWidth="1"/>
    <col min="4355" max="4355" width="16.54296875" style="1" customWidth="1"/>
    <col min="4356" max="4356" width="29.54296875" style="1" customWidth="1"/>
    <col min="4357" max="4357" width="17.54296875" style="1" customWidth="1"/>
    <col min="4358" max="4358" width="16.453125" style="1" customWidth="1"/>
    <col min="4359" max="4359" width="9.1796875" style="1"/>
    <col min="4360" max="4360" width="10" style="1" bestFit="1" customWidth="1"/>
    <col min="4361" max="4608" width="9.1796875" style="1"/>
    <col min="4609" max="4609" width="3.81640625" style="1" customWidth="1"/>
    <col min="4610" max="4610" width="57.54296875" style="1" customWidth="1"/>
    <col min="4611" max="4611" width="16.54296875" style="1" customWidth="1"/>
    <col min="4612" max="4612" width="29.54296875" style="1" customWidth="1"/>
    <col min="4613" max="4613" width="17.54296875" style="1" customWidth="1"/>
    <col min="4614" max="4614" width="16.453125" style="1" customWidth="1"/>
    <col min="4615" max="4615" width="9.1796875" style="1"/>
    <col min="4616" max="4616" width="10" style="1" bestFit="1" customWidth="1"/>
    <col min="4617" max="4864" width="9.1796875" style="1"/>
    <col min="4865" max="4865" width="3.81640625" style="1" customWidth="1"/>
    <col min="4866" max="4866" width="57.54296875" style="1" customWidth="1"/>
    <col min="4867" max="4867" width="16.54296875" style="1" customWidth="1"/>
    <col min="4868" max="4868" width="29.54296875" style="1" customWidth="1"/>
    <col min="4869" max="4869" width="17.54296875" style="1" customWidth="1"/>
    <col min="4870" max="4870" width="16.453125" style="1" customWidth="1"/>
    <col min="4871" max="4871" width="9.1796875" style="1"/>
    <col min="4872" max="4872" width="10" style="1" bestFit="1" customWidth="1"/>
    <col min="4873" max="5120" width="9.1796875" style="1"/>
    <col min="5121" max="5121" width="3.81640625" style="1" customWidth="1"/>
    <col min="5122" max="5122" width="57.54296875" style="1" customWidth="1"/>
    <col min="5123" max="5123" width="16.54296875" style="1" customWidth="1"/>
    <col min="5124" max="5124" width="29.54296875" style="1" customWidth="1"/>
    <col min="5125" max="5125" width="17.54296875" style="1" customWidth="1"/>
    <col min="5126" max="5126" width="16.453125" style="1" customWidth="1"/>
    <col min="5127" max="5127" width="9.1796875" style="1"/>
    <col min="5128" max="5128" width="10" style="1" bestFit="1" customWidth="1"/>
    <col min="5129" max="5376" width="9.1796875" style="1"/>
    <col min="5377" max="5377" width="3.81640625" style="1" customWidth="1"/>
    <col min="5378" max="5378" width="57.54296875" style="1" customWidth="1"/>
    <col min="5379" max="5379" width="16.54296875" style="1" customWidth="1"/>
    <col min="5380" max="5380" width="29.54296875" style="1" customWidth="1"/>
    <col min="5381" max="5381" width="17.54296875" style="1" customWidth="1"/>
    <col min="5382" max="5382" width="16.453125" style="1" customWidth="1"/>
    <col min="5383" max="5383" width="9.1796875" style="1"/>
    <col min="5384" max="5384" width="10" style="1" bestFit="1" customWidth="1"/>
    <col min="5385" max="5632" width="9.1796875" style="1"/>
    <col min="5633" max="5633" width="3.81640625" style="1" customWidth="1"/>
    <col min="5634" max="5634" width="57.54296875" style="1" customWidth="1"/>
    <col min="5635" max="5635" width="16.54296875" style="1" customWidth="1"/>
    <col min="5636" max="5636" width="29.54296875" style="1" customWidth="1"/>
    <col min="5637" max="5637" width="17.54296875" style="1" customWidth="1"/>
    <col min="5638" max="5638" width="16.453125" style="1" customWidth="1"/>
    <col min="5639" max="5639" width="9.1796875" style="1"/>
    <col min="5640" max="5640" width="10" style="1" bestFit="1" customWidth="1"/>
    <col min="5641" max="5888" width="9.1796875" style="1"/>
    <col min="5889" max="5889" width="3.81640625" style="1" customWidth="1"/>
    <col min="5890" max="5890" width="57.54296875" style="1" customWidth="1"/>
    <col min="5891" max="5891" width="16.54296875" style="1" customWidth="1"/>
    <col min="5892" max="5892" width="29.54296875" style="1" customWidth="1"/>
    <col min="5893" max="5893" width="17.54296875" style="1" customWidth="1"/>
    <col min="5894" max="5894" width="16.453125" style="1" customWidth="1"/>
    <col min="5895" max="5895" width="9.1796875" style="1"/>
    <col min="5896" max="5896" width="10" style="1" bestFit="1" customWidth="1"/>
    <col min="5897" max="6144" width="9.1796875" style="1"/>
    <col min="6145" max="6145" width="3.81640625" style="1" customWidth="1"/>
    <col min="6146" max="6146" width="57.54296875" style="1" customWidth="1"/>
    <col min="6147" max="6147" width="16.54296875" style="1" customWidth="1"/>
    <col min="6148" max="6148" width="29.54296875" style="1" customWidth="1"/>
    <col min="6149" max="6149" width="17.54296875" style="1" customWidth="1"/>
    <col min="6150" max="6150" width="16.453125" style="1" customWidth="1"/>
    <col min="6151" max="6151" width="9.1796875" style="1"/>
    <col min="6152" max="6152" width="10" style="1" bestFit="1" customWidth="1"/>
    <col min="6153" max="6400" width="9.1796875" style="1"/>
    <col min="6401" max="6401" width="3.81640625" style="1" customWidth="1"/>
    <col min="6402" max="6402" width="57.54296875" style="1" customWidth="1"/>
    <col min="6403" max="6403" width="16.54296875" style="1" customWidth="1"/>
    <col min="6404" max="6404" width="29.54296875" style="1" customWidth="1"/>
    <col min="6405" max="6405" width="17.54296875" style="1" customWidth="1"/>
    <col min="6406" max="6406" width="16.453125" style="1" customWidth="1"/>
    <col min="6407" max="6407" width="9.1796875" style="1"/>
    <col min="6408" max="6408" width="10" style="1" bestFit="1" customWidth="1"/>
    <col min="6409" max="6656" width="9.1796875" style="1"/>
    <col min="6657" max="6657" width="3.81640625" style="1" customWidth="1"/>
    <col min="6658" max="6658" width="57.54296875" style="1" customWidth="1"/>
    <col min="6659" max="6659" width="16.54296875" style="1" customWidth="1"/>
    <col min="6660" max="6660" width="29.54296875" style="1" customWidth="1"/>
    <col min="6661" max="6661" width="17.54296875" style="1" customWidth="1"/>
    <col min="6662" max="6662" width="16.453125" style="1" customWidth="1"/>
    <col min="6663" max="6663" width="9.1796875" style="1"/>
    <col min="6664" max="6664" width="10" style="1" bestFit="1" customWidth="1"/>
    <col min="6665" max="6912" width="9.1796875" style="1"/>
    <col min="6913" max="6913" width="3.81640625" style="1" customWidth="1"/>
    <col min="6914" max="6914" width="57.54296875" style="1" customWidth="1"/>
    <col min="6915" max="6915" width="16.54296875" style="1" customWidth="1"/>
    <col min="6916" max="6916" width="29.54296875" style="1" customWidth="1"/>
    <col min="6917" max="6917" width="17.54296875" style="1" customWidth="1"/>
    <col min="6918" max="6918" width="16.453125" style="1" customWidth="1"/>
    <col min="6919" max="6919" width="9.1796875" style="1"/>
    <col min="6920" max="6920" width="10" style="1" bestFit="1" customWidth="1"/>
    <col min="6921" max="7168" width="9.1796875" style="1"/>
    <col min="7169" max="7169" width="3.81640625" style="1" customWidth="1"/>
    <col min="7170" max="7170" width="57.54296875" style="1" customWidth="1"/>
    <col min="7171" max="7171" width="16.54296875" style="1" customWidth="1"/>
    <col min="7172" max="7172" width="29.54296875" style="1" customWidth="1"/>
    <col min="7173" max="7173" width="17.54296875" style="1" customWidth="1"/>
    <col min="7174" max="7174" width="16.453125" style="1" customWidth="1"/>
    <col min="7175" max="7175" width="9.1796875" style="1"/>
    <col min="7176" max="7176" width="10" style="1" bestFit="1" customWidth="1"/>
    <col min="7177" max="7424" width="9.1796875" style="1"/>
    <col min="7425" max="7425" width="3.81640625" style="1" customWidth="1"/>
    <col min="7426" max="7426" width="57.54296875" style="1" customWidth="1"/>
    <col min="7427" max="7427" width="16.54296875" style="1" customWidth="1"/>
    <col min="7428" max="7428" width="29.54296875" style="1" customWidth="1"/>
    <col min="7429" max="7429" width="17.54296875" style="1" customWidth="1"/>
    <col min="7430" max="7430" width="16.453125" style="1" customWidth="1"/>
    <col min="7431" max="7431" width="9.1796875" style="1"/>
    <col min="7432" max="7432" width="10" style="1" bestFit="1" customWidth="1"/>
    <col min="7433" max="7680" width="9.1796875" style="1"/>
    <col min="7681" max="7681" width="3.81640625" style="1" customWidth="1"/>
    <col min="7682" max="7682" width="57.54296875" style="1" customWidth="1"/>
    <col min="7683" max="7683" width="16.54296875" style="1" customWidth="1"/>
    <col min="7684" max="7684" width="29.54296875" style="1" customWidth="1"/>
    <col min="7685" max="7685" width="17.54296875" style="1" customWidth="1"/>
    <col min="7686" max="7686" width="16.453125" style="1" customWidth="1"/>
    <col min="7687" max="7687" width="9.1796875" style="1"/>
    <col min="7688" max="7688" width="10" style="1" bestFit="1" customWidth="1"/>
    <col min="7689" max="7936" width="9.1796875" style="1"/>
    <col min="7937" max="7937" width="3.81640625" style="1" customWidth="1"/>
    <col min="7938" max="7938" width="57.54296875" style="1" customWidth="1"/>
    <col min="7939" max="7939" width="16.54296875" style="1" customWidth="1"/>
    <col min="7940" max="7940" width="29.54296875" style="1" customWidth="1"/>
    <col min="7941" max="7941" width="17.54296875" style="1" customWidth="1"/>
    <col min="7942" max="7942" width="16.453125" style="1" customWidth="1"/>
    <col min="7943" max="7943" width="9.1796875" style="1"/>
    <col min="7944" max="7944" width="10" style="1" bestFit="1" customWidth="1"/>
    <col min="7945" max="8192" width="9.1796875" style="1"/>
    <col min="8193" max="8193" width="3.81640625" style="1" customWidth="1"/>
    <col min="8194" max="8194" width="57.54296875" style="1" customWidth="1"/>
    <col min="8195" max="8195" width="16.54296875" style="1" customWidth="1"/>
    <col min="8196" max="8196" width="29.54296875" style="1" customWidth="1"/>
    <col min="8197" max="8197" width="17.54296875" style="1" customWidth="1"/>
    <col min="8198" max="8198" width="16.453125" style="1" customWidth="1"/>
    <col min="8199" max="8199" width="9.1796875" style="1"/>
    <col min="8200" max="8200" width="10" style="1" bestFit="1" customWidth="1"/>
    <col min="8201" max="8448" width="9.1796875" style="1"/>
    <col min="8449" max="8449" width="3.81640625" style="1" customWidth="1"/>
    <col min="8450" max="8450" width="57.54296875" style="1" customWidth="1"/>
    <col min="8451" max="8451" width="16.54296875" style="1" customWidth="1"/>
    <col min="8452" max="8452" width="29.54296875" style="1" customWidth="1"/>
    <col min="8453" max="8453" width="17.54296875" style="1" customWidth="1"/>
    <col min="8454" max="8454" width="16.453125" style="1" customWidth="1"/>
    <col min="8455" max="8455" width="9.1796875" style="1"/>
    <col min="8456" max="8456" width="10" style="1" bestFit="1" customWidth="1"/>
    <col min="8457" max="8704" width="9.1796875" style="1"/>
    <col min="8705" max="8705" width="3.81640625" style="1" customWidth="1"/>
    <col min="8706" max="8706" width="57.54296875" style="1" customWidth="1"/>
    <col min="8707" max="8707" width="16.54296875" style="1" customWidth="1"/>
    <col min="8708" max="8708" width="29.54296875" style="1" customWidth="1"/>
    <col min="8709" max="8709" width="17.54296875" style="1" customWidth="1"/>
    <col min="8710" max="8710" width="16.453125" style="1" customWidth="1"/>
    <col min="8711" max="8711" width="9.1796875" style="1"/>
    <col min="8712" max="8712" width="10" style="1" bestFit="1" customWidth="1"/>
    <col min="8713" max="8960" width="9.1796875" style="1"/>
    <col min="8961" max="8961" width="3.81640625" style="1" customWidth="1"/>
    <col min="8962" max="8962" width="57.54296875" style="1" customWidth="1"/>
    <col min="8963" max="8963" width="16.54296875" style="1" customWidth="1"/>
    <col min="8964" max="8964" width="29.54296875" style="1" customWidth="1"/>
    <col min="8965" max="8965" width="17.54296875" style="1" customWidth="1"/>
    <col min="8966" max="8966" width="16.453125" style="1" customWidth="1"/>
    <col min="8967" max="8967" width="9.1796875" style="1"/>
    <col min="8968" max="8968" width="10" style="1" bestFit="1" customWidth="1"/>
    <col min="8969" max="9216" width="9.1796875" style="1"/>
    <col min="9217" max="9217" width="3.81640625" style="1" customWidth="1"/>
    <col min="9218" max="9218" width="57.54296875" style="1" customWidth="1"/>
    <col min="9219" max="9219" width="16.54296875" style="1" customWidth="1"/>
    <col min="9220" max="9220" width="29.54296875" style="1" customWidth="1"/>
    <col min="9221" max="9221" width="17.54296875" style="1" customWidth="1"/>
    <col min="9222" max="9222" width="16.453125" style="1" customWidth="1"/>
    <col min="9223" max="9223" width="9.1796875" style="1"/>
    <col min="9224" max="9224" width="10" style="1" bestFit="1" customWidth="1"/>
    <col min="9225" max="9472" width="9.1796875" style="1"/>
    <col min="9473" max="9473" width="3.81640625" style="1" customWidth="1"/>
    <col min="9474" max="9474" width="57.54296875" style="1" customWidth="1"/>
    <col min="9475" max="9475" width="16.54296875" style="1" customWidth="1"/>
    <col min="9476" max="9476" width="29.54296875" style="1" customWidth="1"/>
    <col min="9477" max="9477" width="17.54296875" style="1" customWidth="1"/>
    <col min="9478" max="9478" width="16.453125" style="1" customWidth="1"/>
    <col min="9479" max="9479" width="9.1796875" style="1"/>
    <col min="9480" max="9480" width="10" style="1" bestFit="1" customWidth="1"/>
    <col min="9481" max="9728" width="9.1796875" style="1"/>
    <col min="9729" max="9729" width="3.81640625" style="1" customWidth="1"/>
    <col min="9730" max="9730" width="57.54296875" style="1" customWidth="1"/>
    <col min="9731" max="9731" width="16.54296875" style="1" customWidth="1"/>
    <col min="9732" max="9732" width="29.54296875" style="1" customWidth="1"/>
    <col min="9733" max="9733" width="17.54296875" style="1" customWidth="1"/>
    <col min="9734" max="9734" width="16.453125" style="1" customWidth="1"/>
    <col min="9735" max="9735" width="9.1796875" style="1"/>
    <col min="9736" max="9736" width="10" style="1" bestFit="1" customWidth="1"/>
    <col min="9737" max="9984" width="9.1796875" style="1"/>
    <col min="9985" max="9985" width="3.81640625" style="1" customWidth="1"/>
    <col min="9986" max="9986" width="57.54296875" style="1" customWidth="1"/>
    <col min="9987" max="9987" width="16.54296875" style="1" customWidth="1"/>
    <col min="9988" max="9988" width="29.54296875" style="1" customWidth="1"/>
    <col min="9989" max="9989" width="17.54296875" style="1" customWidth="1"/>
    <col min="9990" max="9990" width="16.453125" style="1" customWidth="1"/>
    <col min="9991" max="9991" width="9.1796875" style="1"/>
    <col min="9992" max="9992" width="10" style="1" bestFit="1" customWidth="1"/>
    <col min="9993" max="10240" width="9.1796875" style="1"/>
    <col min="10241" max="10241" width="3.81640625" style="1" customWidth="1"/>
    <col min="10242" max="10242" width="57.54296875" style="1" customWidth="1"/>
    <col min="10243" max="10243" width="16.54296875" style="1" customWidth="1"/>
    <col min="10244" max="10244" width="29.54296875" style="1" customWidth="1"/>
    <col min="10245" max="10245" width="17.54296875" style="1" customWidth="1"/>
    <col min="10246" max="10246" width="16.453125" style="1" customWidth="1"/>
    <col min="10247" max="10247" width="9.1796875" style="1"/>
    <col min="10248" max="10248" width="10" style="1" bestFit="1" customWidth="1"/>
    <col min="10249" max="10496" width="9.1796875" style="1"/>
    <col min="10497" max="10497" width="3.81640625" style="1" customWidth="1"/>
    <col min="10498" max="10498" width="57.54296875" style="1" customWidth="1"/>
    <col min="10499" max="10499" width="16.54296875" style="1" customWidth="1"/>
    <col min="10500" max="10500" width="29.54296875" style="1" customWidth="1"/>
    <col min="10501" max="10501" width="17.54296875" style="1" customWidth="1"/>
    <col min="10502" max="10502" width="16.453125" style="1" customWidth="1"/>
    <col min="10503" max="10503" width="9.1796875" style="1"/>
    <col min="10504" max="10504" width="10" style="1" bestFit="1" customWidth="1"/>
    <col min="10505" max="10752" width="9.1796875" style="1"/>
    <col min="10753" max="10753" width="3.81640625" style="1" customWidth="1"/>
    <col min="10754" max="10754" width="57.54296875" style="1" customWidth="1"/>
    <col min="10755" max="10755" width="16.54296875" style="1" customWidth="1"/>
    <col min="10756" max="10756" width="29.54296875" style="1" customWidth="1"/>
    <col min="10757" max="10757" width="17.54296875" style="1" customWidth="1"/>
    <col min="10758" max="10758" width="16.453125" style="1" customWidth="1"/>
    <col min="10759" max="10759" width="9.1796875" style="1"/>
    <col min="10760" max="10760" width="10" style="1" bestFit="1" customWidth="1"/>
    <col min="10761" max="11008" width="9.1796875" style="1"/>
    <col min="11009" max="11009" width="3.81640625" style="1" customWidth="1"/>
    <col min="11010" max="11010" width="57.54296875" style="1" customWidth="1"/>
    <col min="11011" max="11011" width="16.54296875" style="1" customWidth="1"/>
    <col min="11012" max="11012" width="29.54296875" style="1" customWidth="1"/>
    <col min="11013" max="11013" width="17.54296875" style="1" customWidth="1"/>
    <col min="11014" max="11014" width="16.453125" style="1" customWidth="1"/>
    <col min="11015" max="11015" width="9.1796875" style="1"/>
    <col min="11016" max="11016" width="10" style="1" bestFit="1" customWidth="1"/>
    <col min="11017" max="11264" width="9.1796875" style="1"/>
    <col min="11265" max="11265" width="3.81640625" style="1" customWidth="1"/>
    <col min="11266" max="11266" width="57.54296875" style="1" customWidth="1"/>
    <col min="11267" max="11267" width="16.54296875" style="1" customWidth="1"/>
    <col min="11268" max="11268" width="29.54296875" style="1" customWidth="1"/>
    <col min="11269" max="11269" width="17.54296875" style="1" customWidth="1"/>
    <col min="11270" max="11270" width="16.453125" style="1" customWidth="1"/>
    <col min="11271" max="11271" width="9.1796875" style="1"/>
    <col min="11272" max="11272" width="10" style="1" bestFit="1" customWidth="1"/>
    <col min="11273" max="11520" width="9.1796875" style="1"/>
    <col min="11521" max="11521" width="3.81640625" style="1" customWidth="1"/>
    <col min="11522" max="11522" width="57.54296875" style="1" customWidth="1"/>
    <col min="11523" max="11523" width="16.54296875" style="1" customWidth="1"/>
    <col min="11524" max="11524" width="29.54296875" style="1" customWidth="1"/>
    <col min="11525" max="11525" width="17.54296875" style="1" customWidth="1"/>
    <col min="11526" max="11526" width="16.453125" style="1" customWidth="1"/>
    <col min="11527" max="11527" width="9.1796875" style="1"/>
    <col min="11528" max="11528" width="10" style="1" bestFit="1" customWidth="1"/>
    <col min="11529" max="11776" width="9.1796875" style="1"/>
    <col min="11777" max="11777" width="3.81640625" style="1" customWidth="1"/>
    <col min="11778" max="11778" width="57.54296875" style="1" customWidth="1"/>
    <col min="11779" max="11779" width="16.54296875" style="1" customWidth="1"/>
    <col min="11780" max="11780" width="29.54296875" style="1" customWidth="1"/>
    <col min="11781" max="11781" width="17.54296875" style="1" customWidth="1"/>
    <col min="11782" max="11782" width="16.453125" style="1" customWidth="1"/>
    <col min="11783" max="11783" width="9.1796875" style="1"/>
    <col min="11784" max="11784" width="10" style="1" bestFit="1" customWidth="1"/>
    <col min="11785" max="12032" width="9.1796875" style="1"/>
    <col min="12033" max="12033" width="3.81640625" style="1" customWidth="1"/>
    <col min="12034" max="12034" width="57.54296875" style="1" customWidth="1"/>
    <col min="12035" max="12035" width="16.54296875" style="1" customWidth="1"/>
    <col min="12036" max="12036" width="29.54296875" style="1" customWidth="1"/>
    <col min="12037" max="12037" width="17.54296875" style="1" customWidth="1"/>
    <col min="12038" max="12038" width="16.453125" style="1" customWidth="1"/>
    <col min="12039" max="12039" width="9.1796875" style="1"/>
    <col min="12040" max="12040" width="10" style="1" bestFit="1" customWidth="1"/>
    <col min="12041" max="12288" width="9.1796875" style="1"/>
    <col min="12289" max="12289" width="3.81640625" style="1" customWidth="1"/>
    <col min="12290" max="12290" width="57.54296875" style="1" customWidth="1"/>
    <col min="12291" max="12291" width="16.54296875" style="1" customWidth="1"/>
    <col min="12292" max="12292" width="29.54296875" style="1" customWidth="1"/>
    <col min="12293" max="12293" width="17.54296875" style="1" customWidth="1"/>
    <col min="12294" max="12294" width="16.453125" style="1" customWidth="1"/>
    <col min="12295" max="12295" width="9.1796875" style="1"/>
    <col min="12296" max="12296" width="10" style="1" bestFit="1" customWidth="1"/>
    <col min="12297" max="12544" width="9.1796875" style="1"/>
    <col min="12545" max="12545" width="3.81640625" style="1" customWidth="1"/>
    <col min="12546" max="12546" width="57.54296875" style="1" customWidth="1"/>
    <col min="12547" max="12547" width="16.54296875" style="1" customWidth="1"/>
    <col min="12548" max="12548" width="29.54296875" style="1" customWidth="1"/>
    <col min="12549" max="12549" width="17.54296875" style="1" customWidth="1"/>
    <col min="12550" max="12550" width="16.453125" style="1" customWidth="1"/>
    <col min="12551" max="12551" width="9.1796875" style="1"/>
    <col min="12552" max="12552" width="10" style="1" bestFit="1" customWidth="1"/>
    <col min="12553" max="12800" width="9.1796875" style="1"/>
    <col min="12801" max="12801" width="3.81640625" style="1" customWidth="1"/>
    <col min="12802" max="12802" width="57.54296875" style="1" customWidth="1"/>
    <col min="12803" max="12803" width="16.54296875" style="1" customWidth="1"/>
    <col min="12804" max="12804" width="29.54296875" style="1" customWidth="1"/>
    <col min="12805" max="12805" width="17.54296875" style="1" customWidth="1"/>
    <col min="12806" max="12806" width="16.453125" style="1" customWidth="1"/>
    <col min="12807" max="12807" width="9.1796875" style="1"/>
    <col min="12808" max="12808" width="10" style="1" bestFit="1" customWidth="1"/>
    <col min="12809" max="13056" width="9.1796875" style="1"/>
    <col min="13057" max="13057" width="3.81640625" style="1" customWidth="1"/>
    <col min="13058" max="13058" width="57.54296875" style="1" customWidth="1"/>
    <col min="13059" max="13059" width="16.54296875" style="1" customWidth="1"/>
    <col min="13060" max="13060" width="29.54296875" style="1" customWidth="1"/>
    <col min="13061" max="13061" width="17.54296875" style="1" customWidth="1"/>
    <col min="13062" max="13062" width="16.453125" style="1" customWidth="1"/>
    <col min="13063" max="13063" width="9.1796875" style="1"/>
    <col min="13064" max="13064" width="10" style="1" bestFit="1" customWidth="1"/>
    <col min="13065" max="13312" width="9.1796875" style="1"/>
    <col min="13313" max="13313" width="3.81640625" style="1" customWidth="1"/>
    <col min="13314" max="13314" width="57.54296875" style="1" customWidth="1"/>
    <col min="13315" max="13315" width="16.54296875" style="1" customWidth="1"/>
    <col min="13316" max="13316" width="29.54296875" style="1" customWidth="1"/>
    <col min="13317" max="13317" width="17.54296875" style="1" customWidth="1"/>
    <col min="13318" max="13318" width="16.453125" style="1" customWidth="1"/>
    <col min="13319" max="13319" width="9.1796875" style="1"/>
    <col min="13320" max="13320" width="10" style="1" bestFit="1" customWidth="1"/>
    <col min="13321" max="13568" width="9.1796875" style="1"/>
    <col min="13569" max="13569" width="3.81640625" style="1" customWidth="1"/>
    <col min="13570" max="13570" width="57.54296875" style="1" customWidth="1"/>
    <col min="13571" max="13571" width="16.54296875" style="1" customWidth="1"/>
    <col min="13572" max="13572" width="29.54296875" style="1" customWidth="1"/>
    <col min="13573" max="13573" width="17.54296875" style="1" customWidth="1"/>
    <col min="13574" max="13574" width="16.453125" style="1" customWidth="1"/>
    <col min="13575" max="13575" width="9.1796875" style="1"/>
    <col min="13576" max="13576" width="10" style="1" bestFit="1" customWidth="1"/>
    <col min="13577" max="13824" width="9.1796875" style="1"/>
    <col min="13825" max="13825" width="3.81640625" style="1" customWidth="1"/>
    <col min="13826" max="13826" width="57.54296875" style="1" customWidth="1"/>
    <col min="13827" max="13827" width="16.54296875" style="1" customWidth="1"/>
    <col min="13828" max="13828" width="29.54296875" style="1" customWidth="1"/>
    <col min="13829" max="13829" width="17.54296875" style="1" customWidth="1"/>
    <col min="13830" max="13830" width="16.453125" style="1" customWidth="1"/>
    <col min="13831" max="13831" width="9.1796875" style="1"/>
    <col min="13832" max="13832" width="10" style="1" bestFit="1" customWidth="1"/>
    <col min="13833" max="14080" width="9.1796875" style="1"/>
    <col min="14081" max="14081" width="3.81640625" style="1" customWidth="1"/>
    <col min="14082" max="14082" width="57.54296875" style="1" customWidth="1"/>
    <col min="14083" max="14083" width="16.54296875" style="1" customWidth="1"/>
    <col min="14084" max="14084" width="29.54296875" style="1" customWidth="1"/>
    <col min="14085" max="14085" width="17.54296875" style="1" customWidth="1"/>
    <col min="14086" max="14086" width="16.453125" style="1" customWidth="1"/>
    <col min="14087" max="14087" width="9.1796875" style="1"/>
    <col min="14088" max="14088" width="10" style="1" bestFit="1" customWidth="1"/>
    <col min="14089" max="14336" width="9.1796875" style="1"/>
    <col min="14337" max="14337" width="3.81640625" style="1" customWidth="1"/>
    <col min="14338" max="14338" width="57.54296875" style="1" customWidth="1"/>
    <col min="14339" max="14339" width="16.54296875" style="1" customWidth="1"/>
    <col min="14340" max="14340" width="29.54296875" style="1" customWidth="1"/>
    <col min="14341" max="14341" width="17.54296875" style="1" customWidth="1"/>
    <col min="14342" max="14342" width="16.453125" style="1" customWidth="1"/>
    <col min="14343" max="14343" width="9.1796875" style="1"/>
    <col min="14344" max="14344" width="10" style="1" bestFit="1" customWidth="1"/>
    <col min="14345" max="14592" width="9.1796875" style="1"/>
    <col min="14593" max="14593" width="3.81640625" style="1" customWidth="1"/>
    <col min="14594" max="14594" width="57.54296875" style="1" customWidth="1"/>
    <col min="14595" max="14595" width="16.54296875" style="1" customWidth="1"/>
    <col min="14596" max="14596" width="29.54296875" style="1" customWidth="1"/>
    <col min="14597" max="14597" width="17.54296875" style="1" customWidth="1"/>
    <col min="14598" max="14598" width="16.453125" style="1" customWidth="1"/>
    <col min="14599" max="14599" width="9.1796875" style="1"/>
    <col min="14600" max="14600" width="10" style="1" bestFit="1" customWidth="1"/>
    <col min="14601" max="14848" width="9.1796875" style="1"/>
    <col min="14849" max="14849" width="3.81640625" style="1" customWidth="1"/>
    <col min="14850" max="14850" width="57.54296875" style="1" customWidth="1"/>
    <col min="14851" max="14851" width="16.54296875" style="1" customWidth="1"/>
    <col min="14852" max="14852" width="29.54296875" style="1" customWidth="1"/>
    <col min="14853" max="14853" width="17.54296875" style="1" customWidth="1"/>
    <col min="14854" max="14854" width="16.453125" style="1" customWidth="1"/>
    <col min="14855" max="14855" width="9.1796875" style="1"/>
    <col min="14856" max="14856" width="10" style="1" bestFit="1" customWidth="1"/>
    <col min="14857" max="15104" width="9.1796875" style="1"/>
    <col min="15105" max="15105" width="3.81640625" style="1" customWidth="1"/>
    <col min="15106" max="15106" width="57.54296875" style="1" customWidth="1"/>
    <col min="15107" max="15107" width="16.54296875" style="1" customWidth="1"/>
    <col min="15108" max="15108" width="29.54296875" style="1" customWidth="1"/>
    <col min="15109" max="15109" width="17.54296875" style="1" customWidth="1"/>
    <col min="15110" max="15110" width="16.453125" style="1" customWidth="1"/>
    <col min="15111" max="15111" width="9.1796875" style="1"/>
    <col min="15112" max="15112" width="10" style="1" bestFit="1" customWidth="1"/>
    <col min="15113" max="15360" width="9.1796875" style="1"/>
    <col min="15361" max="15361" width="3.81640625" style="1" customWidth="1"/>
    <col min="15362" max="15362" width="57.54296875" style="1" customWidth="1"/>
    <col min="15363" max="15363" width="16.54296875" style="1" customWidth="1"/>
    <col min="15364" max="15364" width="29.54296875" style="1" customWidth="1"/>
    <col min="15365" max="15365" width="17.54296875" style="1" customWidth="1"/>
    <col min="15366" max="15366" width="16.453125" style="1" customWidth="1"/>
    <col min="15367" max="15367" width="9.1796875" style="1"/>
    <col min="15368" max="15368" width="10" style="1" bestFit="1" customWidth="1"/>
    <col min="15369" max="15616" width="9.1796875" style="1"/>
    <col min="15617" max="15617" width="3.81640625" style="1" customWidth="1"/>
    <col min="15618" max="15618" width="57.54296875" style="1" customWidth="1"/>
    <col min="15619" max="15619" width="16.54296875" style="1" customWidth="1"/>
    <col min="15620" max="15620" width="29.54296875" style="1" customWidth="1"/>
    <col min="15621" max="15621" width="17.54296875" style="1" customWidth="1"/>
    <col min="15622" max="15622" width="16.453125" style="1" customWidth="1"/>
    <col min="15623" max="15623" width="9.1796875" style="1"/>
    <col min="15624" max="15624" width="10" style="1" bestFit="1" customWidth="1"/>
    <col min="15625" max="15872" width="9.1796875" style="1"/>
    <col min="15873" max="15873" width="3.81640625" style="1" customWidth="1"/>
    <col min="15874" max="15874" width="57.54296875" style="1" customWidth="1"/>
    <col min="15875" max="15875" width="16.54296875" style="1" customWidth="1"/>
    <col min="15876" max="15876" width="29.54296875" style="1" customWidth="1"/>
    <col min="15877" max="15877" width="17.54296875" style="1" customWidth="1"/>
    <col min="15878" max="15878" width="16.453125" style="1" customWidth="1"/>
    <col min="15879" max="15879" width="9.1796875" style="1"/>
    <col min="15880" max="15880" width="10" style="1" bestFit="1" customWidth="1"/>
    <col min="15881" max="16128" width="9.1796875" style="1"/>
    <col min="16129" max="16129" width="3.81640625" style="1" customWidth="1"/>
    <col min="16130" max="16130" width="57.54296875" style="1" customWidth="1"/>
    <col min="16131" max="16131" width="16.54296875" style="1" customWidth="1"/>
    <col min="16132" max="16132" width="29.54296875" style="1" customWidth="1"/>
    <col min="16133" max="16133" width="17.54296875" style="1" customWidth="1"/>
    <col min="16134" max="16134" width="16.453125" style="1" customWidth="1"/>
    <col min="16135" max="16135" width="9.1796875" style="1"/>
    <col min="16136" max="16136" width="10" style="1" bestFit="1" customWidth="1"/>
    <col min="16137" max="16384" width="9.1796875" style="1"/>
  </cols>
  <sheetData>
    <row r="1" spans="1:8" ht="18.5">
      <c r="A1" s="41" t="s">
        <v>0</v>
      </c>
      <c r="B1" s="41"/>
      <c r="C1" s="41"/>
      <c r="D1" s="41"/>
      <c r="E1" s="41"/>
      <c r="F1" s="41"/>
      <c r="G1" s="41"/>
      <c r="H1" s="41"/>
    </row>
    <row r="2" spans="1:8" s="3" customFormat="1" ht="34.5" customHeight="1">
      <c r="A2" s="22" t="s">
        <v>1</v>
      </c>
      <c r="B2" s="2" t="s">
        <v>2</v>
      </c>
      <c r="C2" s="2" t="s">
        <v>61</v>
      </c>
      <c r="D2" s="2" t="s">
        <v>3</v>
      </c>
      <c r="E2" s="2" t="s">
        <v>4</v>
      </c>
      <c r="F2" s="2" t="s">
        <v>29</v>
      </c>
      <c r="G2" s="2" t="s">
        <v>64</v>
      </c>
      <c r="H2" s="2" t="s">
        <v>9</v>
      </c>
    </row>
    <row r="3" spans="1:8" s="3" customFormat="1" ht="34.5" customHeight="1">
      <c r="A3" s="23">
        <v>1</v>
      </c>
      <c r="B3" s="5" t="s">
        <v>67</v>
      </c>
      <c r="C3" s="5" t="s">
        <v>62</v>
      </c>
      <c r="D3" s="5" t="s">
        <v>41</v>
      </c>
      <c r="E3" s="6" t="s">
        <v>68</v>
      </c>
      <c r="F3" s="6"/>
      <c r="G3" s="34">
        <v>69412725</v>
      </c>
      <c r="H3" s="5" t="s">
        <v>56</v>
      </c>
    </row>
    <row r="4" spans="1:8" s="3" customFormat="1" ht="41" customHeight="1">
      <c r="A4" s="23">
        <v>2</v>
      </c>
      <c r="B4" s="5" t="s">
        <v>54</v>
      </c>
      <c r="C4" s="5" t="s">
        <v>62</v>
      </c>
      <c r="D4" s="5" t="s">
        <v>55</v>
      </c>
      <c r="E4" s="6" t="s">
        <v>75</v>
      </c>
      <c r="F4" s="29"/>
      <c r="G4" s="34">
        <v>407117302</v>
      </c>
      <c r="H4" s="5" t="s">
        <v>56</v>
      </c>
    </row>
    <row r="5" spans="1:8" s="3" customFormat="1" ht="34.5" customHeight="1">
      <c r="A5" s="23">
        <f>A4+1</f>
        <v>3</v>
      </c>
      <c r="B5" s="5" t="s">
        <v>69</v>
      </c>
      <c r="C5" s="5" t="s">
        <v>62</v>
      </c>
      <c r="D5" s="5" t="s">
        <v>45</v>
      </c>
      <c r="E5" s="6" t="s">
        <v>51</v>
      </c>
      <c r="F5" s="29"/>
      <c r="G5" s="34">
        <v>120095555.84</v>
      </c>
      <c r="H5" s="5" t="s">
        <v>12</v>
      </c>
    </row>
    <row r="6" spans="1:8" s="3" customFormat="1" ht="34.5" customHeight="1">
      <c r="A6" s="23">
        <f t="shared" ref="A6:A11" si="0">A5+1</f>
        <v>4</v>
      </c>
      <c r="B6" s="5" t="s">
        <v>53</v>
      </c>
      <c r="C6" s="5" t="s">
        <v>62</v>
      </c>
      <c r="D6" s="5" t="s">
        <v>52</v>
      </c>
      <c r="E6" s="6" t="s">
        <v>66</v>
      </c>
      <c r="F6" s="29"/>
      <c r="G6" s="34">
        <v>132500000</v>
      </c>
      <c r="H6" s="5" t="s">
        <v>12</v>
      </c>
    </row>
    <row r="7" spans="1:8" s="3" customFormat="1" ht="52">
      <c r="A7" s="23">
        <f t="shared" si="0"/>
        <v>5</v>
      </c>
      <c r="B7" s="5" t="s">
        <v>70</v>
      </c>
      <c r="C7" s="5" t="s">
        <v>62</v>
      </c>
      <c r="D7" s="5" t="s">
        <v>42</v>
      </c>
      <c r="E7" s="6" t="s">
        <v>65</v>
      </c>
      <c r="F7" s="6"/>
      <c r="G7" s="34">
        <v>143636907</v>
      </c>
      <c r="H7" s="5" t="s">
        <v>12</v>
      </c>
    </row>
    <row r="8" spans="1:8" s="3" customFormat="1" ht="26">
      <c r="A8" s="23">
        <f t="shared" si="0"/>
        <v>6</v>
      </c>
      <c r="B8" s="5" t="s">
        <v>71</v>
      </c>
      <c r="C8" s="5" t="s">
        <v>62</v>
      </c>
      <c r="D8" s="5" t="s">
        <v>43</v>
      </c>
      <c r="E8" s="6" t="s">
        <v>44</v>
      </c>
      <c r="F8" s="6"/>
      <c r="G8" s="34">
        <v>78470000</v>
      </c>
      <c r="H8" s="5" t="s">
        <v>12</v>
      </c>
    </row>
    <row r="9" spans="1:8" s="3" customFormat="1" ht="26">
      <c r="A9" s="23">
        <f t="shared" si="0"/>
        <v>7</v>
      </c>
      <c r="B9" s="5" t="s">
        <v>72</v>
      </c>
      <c r="C9" s="5" t="s">
        <v>62</v>
      </c>
      <c r="D9" s="5" t="s">
        <v>45</v>
      </c>
      <c r="E9" s="6" t="s">
        <v>48</v>
      </c>
      <c r="F9" s="6"/>
      <c r="G9" s="34">
        <v>169437749.13</v>
      </c>
      <c r="H9" s="5" t="s">
        <v>12</v>
      </c>
    </row>
    <row r="10" spans="1:8" s="3" customFormat="1" ht="26">
      <c r="A10" s="23">
        <f t="shared" si="0"/>
        <v>8</v>
      </c>
      <c r="B10" s="5" t="s">
        <v>73</v>
      </c>
      <c r="C10" s="5" t="s">
        <v>62</v>
      </c>
      <c r="D10" s="5" t="s">
        <v>45</v>
      </c>
      <c r="E10" s="6" t="s">
        <v>49</v>
      </c>
      <c r="F10" s="6"/>
      <c r="G10" s="34">
        <v>130562089.47</v>
      </c>
      <c r="H10" s="5" t="s">
        <v>12</v>
      </c>
    </row>
    <row r="11" spans="1:8" s="3" customFormat="1" ht="26">
      <c r="A11" s="23">
        <f t="shared" si="0"/>
        <v>9</v>
      </c>
      <c r="B11" s="5" t="s">
        <v>74</v>
      </c>
      <c r="C11" s="5" t="s">
        <v>62</v>
      </c>
      <c r="D11" s="5" t="s">
        <v>45</v>
      </c>
      <c r="E11" s="6" t="s">
        <v>50</v>
      </c>
      <c r="F11" s="6"/>
      <c r="G11" s="34">
        <v>113892933.5</v>
      </c>
      <c r="H11" s="5" t="s">
        <v>12</v>
      </c>
    </row>
    <row r="12" spans="1:8">
      <c r="A12" s="28"/>
      <c r="B12" s="15"/>
      <c r="C12" s="15"/>
      <c r="D12" s="3"/>
      <c r="E12" s="15"/>
      <c r="F12" s="15"/>
      <c r="G12" s="32"/>
      <c r="H12" s="15"/>
    </row>
    <row r="13" spans="1:8" s="18" customFormat="1">
      <c r="A13" s="24"/>
      <c r="B13" s="36"/>
      <c r="C13" s="1"/>
      <c r="D13" s="12"/>
      <c r="E13" s="12"/>
      <c r="F13" s="12"/>
      <c r="G13" s="12"/>
      <c r="H13" s="12"/>
    </row>
    <row r="14" spans="1:8" s="7" customFormat="1">
      <c r="A14" s="25"/>
      <c r="B14" s="18"/>
      <c r="C14" s="18"/>
      <c r="D14" s="17" t="s">
        <v>22</v>
      </c>
      <c r="E14" s="17"/>
      <c r="F14" s="17"/>
      <c r="G14" s="33">
        <f>SUM(G3:G13)</f>
        <v>1365125261.9400001</v>
      </c>
      <c r="H14" s="17"/>
    </row>
    <row r="15" spans="1:8" s="7" customFormat="1">
      <c r="A15" s="25"/>
      <c r="D15" s="11"/>
      <c r="E15" s="11"/>
      <c r="F15" s="11"/>
      <c r="G15" s="11"/>
      <c r="H15" s="11"/>
    </row>
    <row r="16" spans="1:8" s="7" customFormat="1">
      <c r="A16" s="25"/>
      <c r="D16" s="11"/>
      <c r="E16" s="11"/>
      <c r="F16" s="11"/>
      <c r="G16" s="11"/>
      <c r="H16" s="11"/>
    </row>
    <row r="17" spans="1:8" s="7" customFormat="1">
      <c r="A17" s="25"/>
      <c r="D17" s="11"/>
      <c r="E17" s="11"/>
      <c r="F17" s="11"/>
      <c r="G17" s="11"/>
      <c r="H17" s="11"/>
    </row>
    <row r="18" spans="1:8" s="7" customFormat="1">
      <c r="A18" s="25"/>
      <c r="B18" s="37"/>
      <c r="C18" s="16"/>
      <c r="D18" s="11"/>
      <c r="E18" s="11"/>
      <c r="F18" s="11"/>
      <c r="G18" s="11"/>
      <c r="H18" s="11"/>
    </row>
    <row r="19" spans="1:8" s="7" customFormat="1">
      <c r="A19" s="25"/>
      <c r="D19" s="11"/>
      <c r="E19" s="11"/>
      <c r="F19" s="11"/>
      <c r="G19" s="11"/>
      <c r="H19" s="11"/>
    </row>
    <row r="20" spans="1:8">
      <c r="B20" s="7"/>
      <c r="C20" s="7"/>
      <c r="D20" s="11"/>
      <c r="E20" s="11"/>
      <c r="F20" s="11"/>
      <c r="G20" s="11"/>
      <c r="H20" s="11"/>
    </row>
  </sheetData>
  <autoFilter ref="A2:H11" xr:uid="{00000000-0009-0000-0000-000000000000}"/>
  <sortState xmlns:xlrd2="http://schemas.microsoft.com/office/spreadsheetml/2017/richdata2" ref="B9:H20">
    <sortCondition descending="1" ref="G9:G20"/>
    <sortCondition descending="1" ref="H9:H20"/>
  </sortState>
  <mergeCells count="1">
    <mergeCell ref="A1:H1"/>
  </mergeCells>
  <conditionalFormatting sqref="G1:G1048576">
    <cfRule type="duplicateValues" dxfId="4" priority="1"/>
  </conditionalFormatting>
  <pageMargins left="0.70866141732283472" right="0.70866141732283472" top="0.74803149606299213" bottom="0.74803149606299213" header="0.31496062992125984" footer="0.31496062992125984"/>
  <pageSetup scale="6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I24"/>
  <sheetViews>
    <sheetView view="pageBreakPreview" topLeftCell="A8" zoomScale="80" zoomScaleNormal="100" zoomScaleSheetLayoutView="80" workbookViewId="0">
      <selection activeCell="E7" sqref="E7"/>
    </sheetView>
  </sheetViews>
  <sheetFormatPr defaultRowHeight="14.5"/>
  <cols>
    <col min="1" max="1" width="3.81640625" style="12" customWidth="1"/>
    <col min="2" max="2" width="56.453125" style="1" customWidth="1"/>
    <col min="3" max="3" width="21.36328125" style="1" bestFit="1" customWidth="1"/>
    <col min="4" max="4" width="16.54296875" style="31" customWidth="1"/>
    <col min="5" max="5" width="33" style="12" customWidth="1"/>
    <col min="6" max="6" width="32.54296875" style="12" hidden="1" customWidth="1"/>
    <col min="7" max="7" width="21" style="12" bestFit="1" customWidth="1"/>
    <col min="8" max="8" width="19.1796875" style="12" customWidth="1"/>
    <col min="9" max="9" width="21.26953125" style="12" customWidth="1"/>
    <col min="10" max="257" width="9.1796875" style="1"/>
    <col min="258" max="258" width="3.81640625" style="1" customWidth="1"/>
    <col min="259" max="259" width="57.54296875" style="1" customWidth="1"/>
    <col min="260" max="260" width="16.54296875" style="1" customWidth="1"/>
    <col min="261" max="261" width="29.54296875" style="1" customWidth="1"/>
    <col min="262" max="262" width="17.54296875" style="1" customWidth="1"/>
    <col min="263" max="263" width="16.453125" style="1" customWidth="1"/>
    <col min="264" max="264" width="9.1796875" style="1"/>
    <col min="265" max="265" width="10" style="1" bestFit="1" customWidth="1"/>
    <col min="266" max="513" width="9.1796875" style="1"/>
    <col min="514" max="514" width="3.81640625" style="1" customWidth="1"/>
    <col min="515" max="515" width="57.54296875" style="1" customWidth="1"/>
    <col min="516" max="516" width="16.54296875" style="1" customWidth="1"/>
    <col min="517" max="517" width="29.54296875" style="1" customWidth="1"/>
    <col min="518" max="518" width="17.54296875" style="1" customWidth="1"/>
    <col min="519" max="519" width="16.453125" style="1" customWidth="1"/>
    <col min="520" max="520" width="9.1796875" style="1"/>
    <col min="521" max="521" width="10" style="1" bestFit="1" customWidth="1"/>
    <col min="522" max="769" width="9.1796875" style="1"/>
    <col min="770" max="770" width="3.81640625" style="1" customWidth="1"/>
    <col min="771" max="771" width="57.54296875" style="1" customWidth="1"/>
    <col min="772" max="772" width="16.54296875" style="1" customWidth="1"/>
    <col min="773" max="773" width="29.54296875" style="1" customWidth="1"/>
    <col min="774" max="774" width="17.54296875" style="1" customWidth="1"/>
    <col min="775" max="775" width="16.453125" style="1" customWidth="1"/>
    <col min="776" max="776" width="9.1796875" style="1"/>
    <col min="777" max="777" width="10" style="1" bestFit="1" customWidth="1"/>
    <col min="778" max="1025" width="9.1796875" style="1"/>
    <col min="1026" max="1026" width="3.81640625" style="1" customWidth="1"/>
    <col min="1027" max="1027" width="57.54296875" style="1" customWidth="1"/>
    <col min="1028" max="1028" width="16.54296875" style="1" customWidth="1"/>
    <col min="1029" max="1029" width="29.54296875" style="1" customWidth="1"/>
    <col min="1030" max="1030" width="17.54296875" style="1" customWidth="1"/>
    <col min="1031" max="1031" width="16.453125" style="1" customWidth="1"/>
    <col min="1032" max="1032" width="9.1796875" style="1"/>
    <col min="1033" max="1033" width="10" style="1" bestFit="1" customWidth="1"/>
    <col min="1034" max="1281" width="9.1796875" style="1"/>
    <col min="1282" max="1282" width="3.81640625" style="1" customWidth="1"/>
    <col min="1283" max="1283" width="57.54296875" style="1" customWidth="1"/>
    <col min="1284" max="1284" width="16.54296875" style="1" customWidth="1"/>
    <col min="1285" max="1285" width="29.54296875" style="1" customWidth="1"/>
    <col min="1286" max="1286" width="17.54296875" style="1" customWidth="1"/>
    <col min="1287" max="1287" width="16.453125" style="1" customWidth="1"/>
    <col min="1288" max="1288" width="9.1796875" style="1"/>
    <col min="1289" max="1289" width="10" style="1" bestFit="1" customWidth="1"/>
    <col min="1290" max="1537" width="9.1796875" style="1"/>
    <col min="1538" max="1538" width="3.81640625" style="1" customWidth="1"/>
    <col min="1539" max="1539" width="57.54296875" style="1" customWidth="1"/>
    <col min="1540" max="1540" width="16.54296875" style="1" customWidth="1"/>
    <col min="1541" max="1541" width="29.54296875" style="1" customWidth="1"/>
    <col min="1542" max="1542" width="17.54296875" style="1" customWidth="1"/>
    <col min="1543" max="1543" width="16.453125" style="1" customWidth="1"/>
    <col min="1544" max="1544" width="9.1796875" style="1"/>
    <col min="1545" max="1545" width="10" style="1" bestFit="1" customWidth="1"/>
    <col min="1546" max="1793" width="9.1796875" style="1"/>
    <col min="1794" max="1794" width="3.81640625" style="1" customWidth="1"/>
    <col min="1795" max="1795" width="57.54296875" style="1" customWidth="1"/>
    <col min="1796" max="1796" width="16.54296875" style="1" customWidth="1"/>
    <col min="1797" max="1797" width="29.54296875" style="1" customWidth="1"/>
    <col min="1798" max="1798" width="17.54296875" style="1" customWidth="1"/>
    <col min="1799" max="1799" width="16.453125" style="1" customWidth="1"/>
    <col min="1800" max="1800" width="9.1796875" style="1"/>
    <col min="1801" max="1801" width="10" style="1" bestFit="1" customWidth="1"/>
    <col min="1802" max="2049" width="9.1796875" style="1"/>
    <col min="2050" max="2050" width="3.81640625" style="1" customWidth="1"/>
    <col min="2051" max="2051" width="57.54296875" style="1" customWidth="1"/>
    <col min="2052" max="2052" width="16.54296875" style="1" customWidth="1"/>
    <col min="2053" max="2053" width="29.54296875" style="1" customWidth="1"/>
    <col min="2054" max="2054" width="17.54296875" style="1" customWidth="1"/>
    <col min="2055" max="2055" width="16.453125" style="1" customWidth="1"/>
    <col min="2056" max="2056" width="9.1796875" style="1"/>
    <col min="2057" max="2057" width="10" style="1" bestFit="1" customWidth="1"/>
    <col min="2058" max="2305" width="9.1796875" style="1"/>
    <col min="2306" max="2306" width="3.81640625" style="1" customWidth="1"/>
    <col min="2307" max="2307" width="57.54296875" style="1" customWidth="1"/>
    <col min="2308" max="2308" width="16.54296875" style="1" customWidth="1"/>
    <col min="2309" max="2309" width="29.54296875" style="1" customWidth="1"/>
    <col min="2310" max="2310" width="17.54296875" style="1" customWidth="1"/>
    <col min="2311" max="2311" width="16.453125" style="1" customWidth="1"/>
    <col min="2312" max="2312" width="9.1796875" style="1"/>
    <col min="2313" max="2313" width="10" style="1" bestFit="1" customWidth="1"/>
    <col min="2314" max="2561" width="9.1796875" style="1"/>
    <col min="2562" max="2562" width="3.81640625" style="1" customWidth="1"/>
    <col min="2563" max="2563" width="57.54296875" style="1" customWidth="1"/>
    <col min="2564" max="2564" width="16.54296875" style="1" customWidth="1"/>
    <col min="2565" max="2565" width="29.54296875" style="1" customWidth="1"/>
    <col min="2566" max="2566" width="17.54296875" style="1" customWidth="1"/>
    <col min="2567" max="2567" width="16.453125" style="1" customWidth="1"/>
    <col min="2568" max="2568" width="9.1796875" style="1"/>
    <col min="2569" max="2569" width="10" style="1" bestFit="1" customWidth="1"/>
    <col min="2570" max="2817" width="9.1796875" style="1"/>
    <col min="2818" max="2818" width="3.81640625" style="1" customWidth="1"/>
    <col min="2819" max="2819" width="57.54296875" style="1" customWidth="1"/>
    <col min="2820" max="2820" width="16.54296875" style="1" customWidth="1"/>
    <col min="2821" max="2821" width="29.54296875" style="1" customWidth="1"/>
    <col min="2822" max="2822" width="17.54296875" style="1" customWidth="1"/>
    <col min="2823" max="2823" width="16.453125" style="1" customWidth="1"/>
    <col min="2824" max="2824" width="9.1796875" style="1"/>
    <col min="2825" max="2825" width="10" style="1" bestFit="1" customWidth="1"/>
    <col min="2826" max="3073" width="9.1796875" style="1"/>
    <col min="3074" max="3074" width="3.81640625" style="1" customWidth="1"/>
    <col min="3075" max="3075" width="57.54296875" style="1" customWidth="1"/>
    <col min="3076" max="3076" width="16.54296875" style="1" customWidth="1"/>
    <col min="3077" max="3077" width="29.54296875" style="1" customWidth="1"/>
    <col min="3078" max="3078" width="17.54296875" style="1" customWidth="1"/>
    <col min="3079" max="3079" width="16.453125" style="1" customWidth="1"/>
    <col min="3080" max="3080" width="9.1796875" style="1"/>
    <col min="3081" max="3081" width="10" style="1" bestFit="1" customWidth="1"/>
    <col min="3082" max="3329" width="9.1796875" style="1"/>
    <col min="3330" max="3330" width="3.81640625" style="1" customWidth="1"/>
    <col min="3331" max="3331" width="57.54296875" style="1" customWidth="1"/>
    <col min="3332" max="3332" width="16.54296875" style="1" customWidth="1"/>
    <col min="3333" max="3333" width="29.54296875" style="1" customWidth="1"/>
    <col min="3334" max="3334" width="17.54296875" style="1" customWidth="1"/>
    <col min="3335" max="3335" width="16.453125" style="1" customWidth="1"/>
    <col min="3336" max="3336" width="9.1796875" style="1"/>
    <col min="3337" max="3337" width="10" style="1" bestFit="1" customWidth="1"/>
    <col min="3338" max="3585" width="9.1796875" style="1"/>
    <col min="3586" max="3586" width="3.81640625" style="1" customWidth="1"/>
    <col min="3587" max="3587" width="57.54296875" style="1" customWidth="1"/>
    <col min="3588" max="3588" width="16.54296875" style="1" customWidth="1"/>
    <col min="3589" max="3589" width="29.54296875" style="1" customWidth="1"/>
    <col min="3590" max="3590" width="17.54296875" style="1" customWidth="1"/>
    <col min="3591" max="3591" width="16.453125" style="1" customWidth="1"/>
    <col min="3592" max="3592" width="9.1796875" style="1"/>
    <col min="3593" max="3593" width="10" style="1" bestFit="1" customWidth="1"/>
    <col min="3594" max="3841" width="9.1796875" style="1"/>
    <col min="3842" max="3842" width="3.81640625" style="1" customWidth="1"/>
    <col min="3843" max="3843" width="57.54296875" style="1" customWidth="1"/>
    <col min="3844" max="3844" width="16.54296875" style="1" customWidth="1"/>
    <col min="3845" max="3845" width="29.54296875" style="1" customWidth="1"/>
    <col min="3846" max="3846" width="17.54296875" style="1" customWidth="1"/>
    <col min="3847" max="3847" width="16.453125" style="1" customWidth="1"/>
    <col min="3848" max="3848" width="9.1796875" style="1"/>
    <col min="3849" max="3849" width="10" style="1" bestFit="1" customWidth="1"/>
    <col min="3850" max="4097" width="9.1796875" style="1"/>
    <col min="4098" max="4098" width="3.81640625" style="1" customWidth="1"/>
    <col min="4099" max="4099" width="57.54296875" style="1" customWidth="1"/>
    <col min="4100" max="4100" width="16.54296875" style="1" customWidth="1"/>
    <col min="4101" max="4101" width="29.54296875" style="1" customWidth="1"/>
    <col min="4102" max="4102" width="17.54296875" style="1" customWidth="1"/>
    <col min="4103" max="4103" width="16.453125" style="1" customWidth="1"/>
    <col min="4104" max="4104" width="9.1796875" style="1"/>
    <col min="4105" max="4105" width="10" style="1" bestFit="1" customWidth="1"/>
    <col min="4106" max="4353" width="9.1796875" style="1"/>
    <col min="4354" max="4354" width="3.81640625" style="1" customWidth="1"/>
    <col min="4355" max="4355" width="57.54296875" style="1" customWidth="1"/>
    <col min="4356" max="4356" width="16.54296875" style="1" customWidth="1"/>
    <col min="4357" max="4357" width="29.54296875" style="1" customWidth="1"/>
    <col min="4358" max="4358" width="17.54296875" style="1" customWidth="1"/>
    <col min="4359" max="4359" width="16.453125" style="1" customWidth="1"/>
    <col min="4360" max="4360" width="9.1796875" style="1"/>
    <col min="4361" max="4361" width="10" style="1" bestFit="1" customWidth="1"/>
    <col min="4362" max="4609" width="9.1796875" style="1"/>
    <col min="4610" max="4610" width="3.81640625" style="1" customWidth="1"/>
    <col min="4611" max="4611" width="57.54296875" style="1" customWidth="1"/>
    <col min="4612" max="4612" width="16.54296875" style="1" customWidth="1"/>
    <col min="4613" max="4613" width="29.54296875" style="1" customWidth="1"/>
    <col min="4614" max="4614" width="17.54296875" style="1" customWidth="1"/>
    <col min="4615" max="4615" width="16.453125" style="1" customWidth="1"/>
    <col min="4616" max="4616" width="9.1796875" style="1"/>
    <col min="4617" max="4617" width="10" style="1" bestFit="1" customWidth="1"/>
    <col min="4618" max="4865" width="9.1796875" style="1"/>
    <col min="4866" max="4866" width="3.81640625" style="1" customWidth="1"/>
    <col min="4867" max="4867" width="57.54296875" style="1" customWidth="1"/>
    <col min="4868" max="4868" width="16.54296875" style="1" customWidth="1"/>
    <col min="4869" max="4869" width="29.54296875" style="1" customWidth="1"/>
    <col min="4870" max="4870" width="17.54296875" style="1" customWidth="1"/>
    <col min="4871" max="4871" width="16.453125" style="1" customWidth="1"/>
    <col min="4872" max="4872" width="9.1796875" style="1"/>
    <col min="4873" max="4873" width="10" style="1" bestFit="1" customWidth="1"/>
    <col min="4874" max="5121" width="9.1796875" style="1"/>
    <col min="5122" max="5122" width="3.81640625" style="1" customWidth="1"/>
    <col min="5123" max="5123" width="57.54296875" style="1" customWidth="1"/>
    <col min="5124" max="5124" width="16.54296875" style="1" customWidth="1"/>
    <col min="5125" max="5125" width="29.54296875" style="1" customWidth="1"/>
    <col min="5126" max="5126" width="17.54296875" style="1" customWidth="1"/>
    <col min="5127" max="5127" width="16.453125" style="1" customWidth="1"/>
    <col min="5128" max="5128" width="9.1796875" style="1"/>
    <col min="5129" max="5129" width="10" style="1" bestFit="1" customWidth="1"/>
    <col min="5130" max="5377" width="9.1796875" style="1"/>
    <col min="5378" max="5378" width="3.81640625" style="1" customWidth="1"/>
    <col min="5379" max="5379" width="57.54296875" style="1" customWidth="1"/>
    <col min="5380" max="5380" width="16.54296875" style="1" customWidth="1"/>
    <col min="5381" max="5381" width="29.54296875" style="1" customWidth="1"/>
    <col min="5382" max="5382" width="17.54296875" style="1" customWidth="1"/>
    <col min="5383" max="5383" width="16.453125" style="1" customWidth="1"/>
    <col min="5384" max="5384" width="9.1796875" style="1"/>
    <col min="5385" max="5385" width="10" style="1" bestFit="1" customWidth="1"/>
    <col min="5386" max="5633" width="9.1796875" style="1"/>
    <col min="5634" max="5634" width="3.81640625" style="1" customWidth="1"/>
    <col min="5635" max="5635" width="57.54296875" style="1" customWidth="1"/>
    <col min="5636" max="5636" width="16.54296875" style="1" customWidth="1"/>
    <col min="5637" max="5637" width="29.54296875" style="1" customWidth="1"/>
    <col min="5638" max="5638" width="17.54296875" style="1" customWidth="1"/>
    <col min="5639" max="5639" width="16.453125" style="1" customWidth="1"/>
    <col min="5640" max="5640" width="9.1796875" style="1"/>
    <col min="5641" max="5641" width="10" style="1" bestFit="1" customWidth="1"/>
    <col min="5642" max="5889" width="9.1796875" style="1"/>
    <col min="5890" max="5890" width="3.81640625" style="1" customWidth="1"/>
    <col min="5891" max="5891" width="57.54296875" style="1" customWidth="1"/>
    <col min="5892" max="5892" width="16.54296875" style="1" customWidth="1"/>
    <col min="5893" max="5893" width="29.54296875" style="1" customWidth="1"/>
    <col min="5894" max="5894" width="17.54296875" style="1" customWidth="1"/>
    <col min="5895" max="5895" width="16.453125" style="1" customWidth="1"/>
    <col min="5896" max="5896" width="9.1796875" style="1"/>
    <col min="5897" max="5897" width="10" style="1" bestFit="1" customWidth="1"/>
    <col min="5898" max="6145" width="9.1796875" style="1"/>
    <col min="6146" max="6146" width="3.81640625" style="1" customWidth="1"/>
    <col min="6147" max="6147" width="57.54296875" style="1" customWidth="1"/>
    <col min="6148" max="6148" width="16.54296875" style="1" customWidth="1"/>
    <col min="6149" max="6149" width="29.54296875" style="1" customWidth="1"/>
    <col min="6150" max="6150" width="17.54296875" style="1" customWidth="1"/>
    <col min="6151" max="6151" width="16.453125" style="1" customWidth="1"/>
    <col min="6152" max="6152" width="9.1796875" style="1"/>
    <col min="6153" max="6153" width="10" style="1" bestFit="1" customWidth="1"/>
    <col min="6154" max="6401" width="9.1796875" style="1"/>
    <col min="6402" max="6402" width="3.81640625" style="1" customWidth="1"/>
    <col min="6403" max="6403" width="57.54296875" style="1" customWidth="1"/>
    <col min="6404" max="6404" width="16.54296875" style="1" customWidth="1"/>
    <col min="6405" max="6405" width="29.54296875" style="1" customWidth="1"/>
    <col min="6406" max="6406" width="17.54296875" style="1" customWidth="1"/>
    <col min="6407" max="6407" width="16.453125" style="1" customWidth="1"/>
    <col min="6408" max="6408" width="9.1796875" style="1"/>
    <col min="6409" max="6409" width="10" style="1" bestFit="1" customWidth="1"/>
    <col min="6410" max="6657" width="9.1796875" style="1"/>
    <col min="6658" max="6658" width="3.81640625" style="1" customWidth="1"/>
    <col min="6659" max="6659" width="57.54296875" style="1" customWidth="1"/>
    <col min="6660" max="6660" width="16.54296875" style="1" customWidth="1"/>
    <col min="6661" max="6661" width="29.54296875" style="1" customWidth="1"/>
    <col min="6662" max="6662" width="17.54296875" style="1" customWidth="1"/>
    <col min="6663" max="6663" width="16.453125" style="1" customWidth="1"/>
    <col min="6664" max="6664" width="9.1796875" style="1"/>
    <col min="6665" max="6665" width="10" style="1" bestFit="1" customWidth="1"/>
    <col min="6666" max="6913" width="9.1796875" style="1"/>
    <col min="6914" max="6914" width="3.81640625" style="1" customWidth="1"/>
    <col min="6915" max="6915" width="57.54296875" style="1" customWidth="1"/>
    <col min="6916" max="6916" width="16.54296875" style="1" customWidth="1"/>
    <col min="6917" max="6917" width="29.54296875" style="1" customWidth="1"/>
    <col min="6918" max="6918" width="17.54296875" style="1" customWidth="1"/>
    <col min="6919" max="6919" width="16.453125" style="1" customWidth="1"/>
    <col min="6920" max="6920" width="9.1796875" style="1"/>
    <col min="6921" max="6921" width="10" style="1" bestFit="1" customWidth="1"/>
    <col min="6922" max="7169" width="9.1796875" style="1"/>
    <col min="7170" max="7170" width="3.81640625" style="1" customWidth="1"/>
    <col min="7171" max="7171" width="57.54296875" style="1" customWidth="1"/>
    <col min="7172" max="7172" width="16.54296875" style="1" customWidth="1"/>
    <col min="7173" max="7173" width="29.54296875" style="1" customWidth="1"/>
    <col min="7174" max="7174" width="17.54296875" style="1" customWidth="1"/>
    <col min="7175" max="7175" width="16.453125" style="1" customWidth="1"/>
    <col min="7176" max="7176" width="9.1796875" style="1"/>
    <col min="7177" max="7177" width="10" style="1" bestFit="1" customWidth="1"/>
    <col min="7178" max="7425" width="9.1796875" style="1"/>
    <col min="7426" max="7426" width="3.81640625" style="1" customWidth="1"/>
    <col min="7427" max="7427" width="57.54296875" style="1" customWidth="1"/>
    <col min="7428" max="7428" width="16.54296875" style="1" customWidth="1"/>
    <col min="7429" max="7429" width="29.54296875" style="1" customWidth="1"/>
    <col min="7430" max="7430" width="17.54296875" style="1" customWidth="1"/>
    <col min="7431" max="7431" width="16.453125" style="1" customWidth="1"/>
    <col min="7432" max="7432" width="9.1796875" style="1"/>
    <col min="7433" max="7433" width="10" style="1" bestFit="1" customWidth="1"/>
    <col min="7434" max="7681" width="9.1796875" style="1"/>
    <col min="7682" max="7682" width="3.81640625" style="1" customWidth="1"/>
    <col min="7683" max="7683" width="57.54296875" style="1" customWidth="1"/>
    <col min="7684" max="7684" width="16.54296875" style="1" customWidth="1"/>
    <col min="7685" max="7685" width="29.54296875" style="1" customWidth="1"/>
    <col min="7686" max="7686" width="17.54296875" style="1" customWidth="1"/>
    <col min="7687" max="7687" width="16.453125" style="1" customWidth="1"/>
    <col min="7688" max="7688" width="9.1796875" style="1"/>
    <col min="7689" max="7689" width="10" style="1" bestFit="1" customWidth="1"/>
    <col min="7690" max="7937" width="9.1796875" style="1"/>
    <col min="7938" max="7938" width="3.81640625" style="1" customWidth="1"/>
    <col min="7939" max="7939" width="57.54296875" style="1" customWidth="1"/>
    <col min="7940" max="7940" width="16.54296875" style="1" customWidth="1"/>
    <col min="7941" max="7941" width="29.54296875" style="1" customWidth="1"/>
    <col min="7942" max="7942" width="17.54296875" style="1" customWidth="1"/>
    <col min="7943" max="7943" width="16.453125" style="1" customWidth="1"/>
    <col min="7944" max="7944" width="9.1796875" style="1"/>
    <col min="7945" max="7945" width="10" style="1" bestFit="1" customWidth="1"/>
    <col min="7946" max="8193" width="9.1796875" style="1"/>
    <col min="8194" max="8194" width="3.81640625" style="1" customWidth="1"/>
    <col min="8195" max="8195" width="57.54296875" style="1" customWidth="1"/>
    <col min="8196" max="8196" width="16.54296875" style="1" customWidth="1"/>
    <col min="8197" max="8197" width="29.54296875" style="1" customWidth="1"/>
    <col min="8198" max="8198" width="17.54296875" style="1" customWidth="1"/>
    <col min="8199" max="8199" width="16.453125" style="1" customWidth="1"/>
    <col min="8200" max="8200" width="9.1796875" style="1"/>
    <col min="8201" max="8201" width="10" style="1" bestFit="1" customWidth="1"/>
    <col min="8202" max="8449" width="9.1796875" style="1"/>
    <col min="8450" max="8450" width="3.81640625" style="1" customWidth="1"/>
    <col min="8451" max="8451" width="57.54296875" style="1" customWidth="1"/>
    <col min="8452" max="8452" width="16.54296875" style="1" customWidth="1"/>
    <col min="8453" max="8453" width="29.54296875" style="1" customWidth="1"/>
    <col min="8454" max="8454" width="17.54296875" style="1" customWidth="1"/>
    <col min="8455" max="8455" width="16.453125" style="1" customWidth="1"/>
    <col min="8456" max="8456" width="9.1796875" style="1"/>
    <col min="8457" max="8457" width="10" style="1" bestFit="1" customWidth="1"/>
    <col min="8458" max="8705" width="9.1796875" style="1"/>
    <col min="8706" max="8706" width="3.81640625" style="1" customWidth="1"/>
    <col min="8707" max="8707" width="57.54296875" style="1" customWidth="1"/>
    <col min="8708" max="8708" width="16.54296875" style="1" customWidth="1"/>
    <col min="8709" max="8709" width="29.54296875" style="1" customWidth="1"/>
    <col min="8710" max="8710" width="17.54296875" style="1" customWidth="1"/>
    <col min="8711" max="8711" width="16.453125" style="1" customWidth="1"/>
    <col min="8712" max="8712" width="9.1796875" style="1"/>
    <col min="8713" max="8713" width="10" style="1" bestFit="1" customWidth="1"/>
    <col min="8714" max="8961" width="9.1796875" style="1"/>
    <col min="8962" max="8962" width="3.81640625" style="1" customWidth="1"/>
    <col min="8963" max="8963" width="57.54296875" style="1" customWidth="1"/>
    <col min="8964" max="8964" width="16.54296875" style="1" customWidth="1"/>
    <col min="8965" max="8965" width="29.54296875" style="1" customWidth="1"/>
    <col min="8966" max="8966" width="17.54296875" style="1" customWidth="1"/>
    <col min="8967" max="8967" width="16.453125" style="1" customWidth="1"/>
    <col min="8968" max="8968" width="9.1796875" style="1"/>
    <col min="8969" max="8969" width="10" style="1" bestFit="1" customWidth="1"/>
    <col min="8970" max="9217" width="9.1796875" style="1"/>
    <col min="9218" max="9218" width="3.81640625" style="1" customWidth="1"/>
    <col min="9219" max="9219" width="57.54296875" style="1" customWidth="1"/>
    <col min="9220" max="9220" width="16.54296875" style="1" customWidth="1"/>
    <col min="9221" max="9221" width="29.54296875" style="1" customWidth="1"/>
    <col min="9222" max="9222" width="17.54296875" style="1" customWidth="1"/>
    <col min="9223" max="9223" width="16.453125" style="1" customWidth="1"/>
    <col min="9224" max="9224" width="9.1796875" style="1"/>
    <col min="9225" max="9225" width="10" style="1" bestFit="1" customWidth="1"/>
    <col min="9226" max="9473" width="9.1796875" style="1"/>
    <col min="9474" max="9474" width="3.81640625" style="1" customWidth="1"/>
    <col min="9475" max="9475" width="57.54296875" style="1" customWidth="1"/>
    <col min="9476" max="9476" width="16.54296875" style="1" customWidth="1"/>
    <col min="9477" max="9477" width="29.54296875" style="1" customWidth="1"/>
    <col min="9478" max="9478" width="17.54296875" style="1" customWidth="1"/>
    <col min="9479" max="9479" width="16.453125" style="1" customWidth="1"/>
    <col min="9480" max="9480" width="9.1796875" style="1"/>
    <col min="9481" max="9481" width="10" style="1" bestFit="1" customWidth="1"/>
    <col min="9482" max="9729" width="9.1796875" style="1"/>
    <col min="9730" max="9730" width="3.81640625" style="1" customWidth="1"/>
    <col min="9731" max="9731" width="57.54296875" style="1" customWidth="1"/>
    <col min="9732" max="9732" width="16.54296875" style="1" customWidth="1"/>
    <col min="9733" max="9733" width="29.54296875" style="1" customWidth="1"/>
    <col min="9734" max="9734" width="17.54296875" style="1" customWidth="1"/>
    <col min="9735" max="9735" width="16.453125" style="1" customWidth="1"/>
    <col min="9736" max="9736" width="9.1796875" style="1"/>
    <col min="9737" max="9737" width="10" style="1" bestFit="1" customWidth="1"/>
    <col min="9738" max="9985" width="9.1796875" style="1"/>
    <col min="9986" max="9986" width="3.81640625" style="1" customWidth="1"/>
    <col min="9987" max="9987" width="57.54296875" style="1" customWidth="1"/>
    <col min="9988" max="9988" width="16.54296875" style="1" customWidth="1"/>
    <col min="9989" max="9989" width="29.54296875" style="1" customWidth="1"/>
    <col min="9990" max="9990" width="17.54296875" style="1" customWidth="1"/>
    <col min="9991" max="9991" width="16.453125" style="1" customWidth="1"/>
    <col min="9992" max="9992" width="9.1796875" style="1"/>
    <col min="9993" max="9993" width="10" style="1" bestFit="1" customWidth="1"/>
    <col min="9994" max="10241" width="9.1796875" style="1"/>
    <col min="10242" max="10242" width="3.81640625" style="1" customWidth="1"/>
    <col min="10243" max="10243" width="57.54296875" style="1" customWidth="1"/>
    <col min="10244" max="10244" width="16.54296875" style="1" customWidth="1"/>
    <col min="10245" max="10245" width="29.54296875" style="1" customWidth="1"/>
    <col min="10246" max="10246" width="17.54296875" style="1" customWidth="1"/>
    <col min="10247" max="10247" width="16.453125" style="1" customWidth="1"/>
    <col min="10248" max="10248" width="9.1796875" style="1"/>
    <col min="10249" max="10249" width="10" style="1" bestFit="1" customWidth="1"/>
    <col min="10250" max="10497" width="9.1796875" style="1"/>
    <col min="10498" max="10498" width="3.81640625" style="1" customWidth="1"/>
    <col min="10499" max="10499" width="57.54296875" style="1" customWidth="1"/>
    <col min="10500" max="10500" width="16.54296875" style="1" customWidth="1"/>
    <col min="10501" max="10501" width="29.54296875" style="1" customWidth="1"/>
    <col min="10502" max="10502" width="17.54296875" style="1" customWidth="1"/>
    <col min="10503" max="10503" width="16.453125" style="1" customWidth="1"/>
    <col min="10504" max="10504" width="9.1796875" style="1"/>
    <col min="10505" max="10505" width="10" style="1" bestFit="1" customWidth="1"/>
    <col min="10506" max="10753" width="9.1796875" style="1"/>
    <col min="10754" max="10754" width="3.81640625" style="1" customWidth="1"/>
    <col min="10755" max="10755" width="57.54296875" style="1" customWidth="1"/>
    <col min="10756" max="10756" width="16.54296875" style="1" customWidth="1"/>
    <col min="10757" max="10757" width="29.54296875" style="1" customWidth="1"/>
    <col min="10758" max="10758" width="17.54296875" style="1" customWidth="1"/>
    <col min="10759" max="10759" width="16.453125" style="1" customWidth="1"/>
    <col min="10760" max="10760" width="9.1796875" style="1"/>
    <col min="10761" max="10761" width="10" style="1" bestFit="1" customWidth="1"/>
    <col min="10762" max="11009" width="9.1796875" style="1"/>
    <col min="11010" max="11010" width="3.81640625" style="1" customWidth="1"/>
    <col min="11011" max="11011" width="57.54296875" style="1" customWidth="1"/>
    <col min="11012" max="11012" width="16.54296875" style="1" customWidth="1"/>
    <col min="11013" max="11013" width="29.54296875" style="1" customWidth="1"/>
    <col min="11014" max="11014" width="17.54296875" style="1" customWidth="1"/>
    <col min="11015" max="11015" width="16.453125" style="1" customWidth="1"/>
    <col min="11016" max="11016" width="9.1796875" style="1"/>
    <col min="11017" max="11017" width="10" style="1" bestFit="1" customWidth="1"/>
    <col min="11018" max="11265" width="9.1796875" style="1"/>
    <col min="11266" max="11266" width="3.81640625" style="1" customWidth="1"/>
    <col min="11267" max="11267" width="57.54296875" style="1" customWidth="1"/>
    <col min="11268" max="11268" width="16.54296875" style="1" customWidth="1"/>
    <col min="11269" max="11269" width="29.54296875" style="1" customWidth="1"/>
    <col min="11270" max="11270" width="17.54296875" style="1" customWidth="1"/>
    <col min="11271" max="11271" width="16.453125" style="1" customWidth="1"/>
    <col min="11272" max="11272" width="9.1796875" style="1"/>
    <col min="11273" max="11273" width="10" style="1" bestFit="1" customWidth="1"/>
    <col min="11274" max="11521" width="9.1796875" style="1"/>
    <col min="11522" max="11522" width="3.81640625" style="1" customWidth="1"/>
    <col min="11523" max="11523" width="57.54296875" style="1" customWidth="1"/>
    <col min="11524" max="11524" width="16.54296875" style="1" customWidth="1"/>
    <col min="11525" max="11525" width="29.54296875" style="1" customWidth="1"/>
    <col min="11526" max="11526" width="17.54296875" style="1" customWidth="1"/>
    <col min="11527" max="11527" width="16.453125" style="1" customWidth="1"/>
    <col min="11528" max="11528" width="9.1796875" style="1"/>
    <col min="11529" max="11529" width="10" style="1" bestFit="1" customWidth="1"/>
    <col min="11530" max="11777" width="9.1796875" style="1"/>
    <col min="11778" max="11778" width="3.81640625" style="1" customWidth="1"/>
    <col min="11779" max="11779" width="57.54296875" style="1" customWidth="1"/>
    <col min="11780" max="11780" width="16.54296875" style="1" customWidth="1"/>
    <col min="11781" max="11781" width="29.54296875" style="1" customWidth="1"/>
    <col min="11782" max="11782" width="17.54296875" style="1" customWidth="1"/>
    <col min="11783" max="11783" width="16.453125" style="1" customWidth="1"/>
    <col min="11784" max="11784" width="9.1796875" style="1"/>
    <col min="11785" max="11785" width="10" style="1" bestFit="1" customWidth="1"/>
    <col min="11786" max="12033" width="9.1796875" style="1"/>
    <col min="12034" max="12034" width="3.81640625" style="1" customWidth="1"/>
    <col min="12035" max="12035" width="57.54296875" style="1" customWidth="1"/>
    <col min="12036" max="12036" width="16.54296875" style="1" customWidth="1"/>
    <col min="12037" max="12037" width="29.54296875" style="1" customWidth="1"/>
    <col min="12038" max="12038" width="17.54296875" style="1" customWidth="1"/>
    <col min="12039" max="12039" width="16.453125" style="1" customWidth="1"/>
    <col min="12040" max="12040" width="9.1796875" style="1"/>
    <col min="12041" max="12041" width="10" style="1" bestFit="1" customWidth="1"/>
    <col min="12042" max="12289" width="9.1796875" style="1"/>
    <col min="12290" max="12290" width="3.81640625" style="1" customWidth="1"/>
    <col min="12291" max="12291" width="57.54296875" style="1" customWidth="1"/>
    <col min="12292" max="12292" width="16.54296875" style="1" customWidth="1"/>
    <col min="12293" max="12293" width="29.54296875" style="1" customWidth="1"/>
    <col min="12294" max="12294" width="17.54296875" style="1" customWidth="1"/>
    <col min="12295" max="12295" width="16.453125" style="1" customWidth="1"/>
    <col min="12296" max="12296" width="9.1796875" style="1"/>
    <col min="12297" max="12297" width="10" style="1" bestFit="1" customWidth="1"/>
    <col min="12298" max="12545" width="9.1796875" style="1"/>
    <col min="12546" max="12546" width="3.81640625" style="1" customWidth="1"/>
    <col min="12547" max="12547" width="57.54296875" style="1" customWidth="1"/>
    <col min="12548" max="12548" width="16.54296875" style="1" customWidth="1"/>
    <col min="12549" max="12549" width="29.54296875" style="1" customWidth="1"/>
    <col min="12550" max="12550" width="17.54296875" style="1" customWidth="1"/>
    <col min="12551" max="12551" width="16.453125" style="1" customWidth="1"/>
    <col min="12552" max="12552" width="9.1796875" style="1"/>
    <col min="12553" max="12553" width="10" style="1" bestFit="1" customWidth="1"/>
    <col min="12554" max="12801" width="9.1796875" style="1"/>
    <col min="12802" max="12802" width="3.81640625" style="1" customWidth="1"/>
    <col min="12803" max="12803" width="57.54296875" style="1" customWidth="1"/>
    <col min="12804" max="12804" width="16.54296875" style="1" customWidth="1"/>
    <col min="12805" max="12805" width="29.54296875" style="1" customWidth="1"/>
    <col min="12806" max="12806" width="17.54296875" style="1" customWidth="1"/>
    <col min="12807" max="12807" width="16.453125" style="1" customWidth="1"/>
    <col min="12808" max="12808" width="9.1796875" style="1"/>
    <col min="12809" max="12809" width="10" style="1" bestFit="1" customWidth="1"/>
    <col min="12810" max="13057" width="9.1796875" style="1"/>
    <col min="13058" max="13058" width="3.81640625" style="1" customWidth="1"/>
    <col min="13059" max="13059" width="57.54296875" style="1" customWidth="1"/>
    <col min="13060" max="13060" width="16.54296875" style="1" customWidth="1"/>
    <col min="13061" max="13061" width="29.54296875" style="1" customWidth="1"/>
    <col min="13062" max="13062" width="17.54296875" style="1" customWidth="1"/>
    <col min="13063" max="13063" width="16.453125" style="1" customWidth="1"/>
    <col min="13064" max="13064" width="9.1796875" style="1"/>
    <col min="13065" max="13065" width="10" style="1" bestFit="1" customWidth="1"/>
    <col min="13066" max="13313" width="9.1796875" style="1"/>
    <col min="13314" max="13314" width="3.81640625" style="1" customWidth="1"/>
    <col min="13315" max="13315" width="57.54296875" style="1" customWidth="1"/>
    <col min="13316" max="13316" width="16.54296875" style="1" customWidth="1"/>
    <col min="13317" max="13317" width="29.54296875" style="1" customWidth="1"/>
    <col min="13318" max="13318" width="17.54296875" style="1" customWidth="1"/>
    <col min="13319" max="13319" width="16.453125" style="1" customWidth="1"/>
    <col min="13320" max="13320" width="9.1796875" style="1"/>
    <col min="13321" max="13321" width="10" style="1" bestFit="1" customWidth="1"/>
    <col min="13322" max="13569" width="9.1796875" style="1"/>
    <col min="13570" max="13570" width="3.81640625" style="1" customWidth="1"/>
    <col min="13571" max="13571" width="57.54296875" style="1" customWidth="1"/>
    <col min="13572" max="13572" width="16.54296875" style="1" customWidth="1"/>
    <col min="13573" max="13573" width="29.54296875" style="1" customWidth="1"/>
    <col min="13574" max="13574" width="17.54296875" style="1" customWidth="1"/>
    <col min="13575" max="13575" width="16.453125" style="1" customWidth="1"/>
    <col min="13576" max="13576" width="9.1796875" style="1"/>
    <col min="13577" max="13577" width="10" style="1" bestFit="1" customWidth="1"/>
    <col min="13578" max="13825" width="9.1796875" style="1"/>
    <col min="13826" max="13826" width="3.81640625" style="1" customWidth="1"/>
    <col min="13827" max="13827" width="57.54296875" style="1" customWidth="1"/>
    <col min="13828" max="13828" width="16.54296875" style="1" customWidth="1"/>
    <col min="13829" max="13829" width="29.54296875" style="1" customWidth="1"/>
    <col min="13830" max="13830" width="17.54296875" style="1" customWidth="1"/>
    <col min="13831" max="13831" width="16.453125" style="1" customWidth="1"/>
    <col min="13832" max="13832" width="9.1796875" style="1"/>
    <col min="13833" max="13833" width="10" style="1" bestFit="1" customWidth="1"/>
    <col min="13834" max="14081" width="9.1796875" style="1"/>
    <col min="14082" max="14082" width="3.81640625" style="1" customWidth="1"/>
    <col min="14083" max="14083" width="57.54296875" style="1" customWidth="1"/>
    <col min="14084" max="14084" width="16.54296875" style="1" customWidth="1"/>
    <col min="14085" max="14085" width="29.54296875" style="1" customWidth="1"/>
    <col min="14086" max="14086" width="17.54296875" style="1" customWidth="1"/>
    <col min="14087" max="14087" width="16.453125" style="1" customWidth="1"/>
    <col min="14088" max="14088" width="9.1796875" style="1"/>
    <col min="14089" max="14089" width="10" style="1" bestFit="1" customWidth="1"/>
    <col min="14090" max="14337" width="9.1796875" style="1"/>
    <col min="14338" max="14338" width="3.81640625" style="1" customWidth="1"/>
    <col min="14339" max="14339" width="57.54296875" style="1" customWidth="1"/>
    <col min="14340" max="14340" width="16.54296875" style="1" customWidth="1"/>
    <col min="14341" max="14341" width="29.54296875" style="1" customWidth="1"/>
    <col min="14342" max="14342" width="17.54296875" style="1" customWidth="1"/>
    <col min="14343" max="14343" width="16.453125" style="1" customWidth="1"/>
    <col min="14344" max="14344" width="9.1796875" style="1"/>
    <col min="14345" max="14345" width="10" style="1" bestFit="1" customWidth="1"/>
    <col min="14346" max="14593" width="9.1796875" style="1"/>
    <col min="14594" max="14594" width="3.81640625" style="1" customWidth="1"/>
    <col min="14595" max="14595" width="57.54296875" style="1" customWidth="1"/>
    <col min="14596" max="14596" width="16.54296875" style="1" customWidth="1"/>
    <col min="14597" max="14597" width="29.54296875" style="1" customWidth="1"/>
    <col min="14598" max="14598" width="17.54296875" style="1" customWidth="1"/>
    <col min="14599" max="14599" width="16.453125" style="1" customWidth="1"/>
    <col min="14600" max="14600" width="9.1796875" style="1"/>
    <col min="14601" max="14601" width="10" style="1" bestFit="1" customWidth="1"/>
    <col min="14602" max="14849" width="9.1796875" style="1"/>
    <col min="14850" max="14850" width="3.81640625" style="1" customWidth="1"/>
    <col min="14851" max="14851" width="57.54296875" style="1" customWidth="1"/>
    <col min="14852" max="14852" width="16.54296875" style="1" customWidth="1"/>
    <col min="14853" max="14853" width="29.54296875" style="1" customWidth="1"/>
    <col min="14854" max="14854" width="17.54296875" style="1" customWidth="1"/>
    <col min="14855" max="14855" width="16.453125" style="1" customWidth="1"/>
    <col min="14856" max="14856" width="9.1796875" style="1"/>
    <col min="14857" max="14857" width="10" style="1" bestFit="1" customWidth="1"/>
    <col min="14858" max="15105" width="9.1796875" style="1"/>
    <col min="15106" max="15106" width="3.81640625" style="1" customWidth="1"/>
    <col min="15107" max="15107" width="57.54296875" style="1" customWidth="1"/>
    <col min="15108" max="15108" width="16.54296875" style="1" customWidth="1"/>
    <col min="15109" max="15109" width="29.54296875" style="1" customWidth="1"/>
    <col min="15110" max="15110" width="17.54296875" style="1" customWidth="1"/>
    <col min="15111" max="15111" width="16.453125" style="1" customWidth="1"/>
    <col min="15112" max="15112" width="9.1796875" style="1"/>
    <col min="15113" max="15113" width="10" style="1" bestFit="1" customWidth="1"/>
    <col min="15114" max="15361" width="9.1796875" style="1"/>
    <col min="15362" max="15362" width="3.81640625" style="1" customWidth="1"/>
    <col min="15363" max="15363" width="57.54296875" style="1" customWidth="1"/>
    <col min="15364" max="15364" width="16.54296875" style="1" customWidth="1"/>
    <col min="15365" max="15365" width="29.54296875" style="1" customWidth="1"/>
    <col min="15366" max="15366" width="17.54296875" style="1" customWidth="1"/>
    <col min="15367" max="15367" width="16.453125" style="1" customWidth="1"/>
    <col min="15368" max="15368" width="9.1796875" style="1"/>
    <col min="15369" max="15369" width="10" style="1" bestFit="1" customWidth="1"/>
    <col min="15370" max="15617" width="9.1796875" style="1"/>
    <col min="15618" max="15618" width="3.81640625" style="1" customWidth="1"/>
    <col min="15619" max="15619" width="57.54296875" style="1" customWidth="1"/>
    <col min="15620" max="15620" width="16.54296875" style="1" customWidth="1"/>
    <col min="15621" max="15621" width="29.54296875" style="1" customWidth="1"/>
    <col min="15622" max="15622" width="17.54296875" style="1" customWidth="1"/>
    <col min="15623" max="15623" width="16.453125" style="1" customWidth="1"/>
    <col min="15624" max="15624" width="9.1796875" style="1"/>
    <col min="15625" max="15625" width="10" style="1" bestFit="1" customWidth="1"/>
    <col min="15626" max="15873" width="9.1796875" style="1"/>
    <col min="15874" max="15874" width="3.81640625" style="1" customWidth="1"/>
    <col min="15875" max="15875" width="57.54296875" style="1" customWidth="1"/>
    <col min="15876" max="15876" width="16.54296875" style="1" customWidth="1"/>
    <col min="15877" max="15877" width="29.54296875" style="1" customWidth="1"/>
    <col min="15878" max="15878" width="17.54296875" style="1" customWidth="1"/>
    <col min="15879" max="15879" width="16.453125" style="1" customWidth="1"/>
    <col min="15880" max="15880" width="9.1796875" style="1"/>
    <col min="15881" max="15881" width="10" style="1" bestFit="1" customWidth="1"/>
    <col min="15882" max="16129" width="9.1796875" style="1"/>
    <col min="16130" max="16130" width="3.81640625" style="1" customWidth="1"/>
    <col min="16131" max="16131" width="57.54296875" style="1" customWidth="1"/>
    <col min="16132" max="16132" width="16.54296875" style="1" customWidth="1"/>
    <col min="16133" max="16133" width="29.54296875" style="1" customWidth="1"/>
    <col min="16134" max="16134" width="17.54296875" style="1" customWidth="1"/>
    <col min="16135" max="16135" width="16.453125" style="1" customWidth="1"/>
    <col min="16136" max="16136" width="9.1796875" style="1"/>
    <col min="16137" max="16137" width="10" style="1" bestFit="1" customWidth="1"/>
    <col min="16138" max="16384" width="9.1796875" style="1"/>
  </cols>
  <sheetData>
    <row r="1" spans="1:9" s="7" customFormat="1" ht="18.5">
      <c r="A1" s="42" t="s">
        <v>7</v>
      </c>
      <c r="B1" s="42"/>
      <c r="C1" s="42"/>
      <c r="D1" s="42"/>
      <c r="E1" s="42"/>
      <c r="F1" s="42"/>
      <c r="G1" s="42"/>
      <c r="H1" s="42"/>
      <c r="I1" s="42"/>
    </row>
    <row r="2" spans="1:9" s="7" customFormat="1" ht="57" customHeight="1">
      <c r="A2" s="2" t="s">
        <v>1</v>
      </c>
      <c r="B2" s="2" t="s">
        <v>2</v>
      </c>
      <c r="C2" s="2" t="s">
        <v>57</v>
      </c>
      <c r="D2" s="2" t="s">
        <v>3</v>
      </c>
      <c r="E2" s="2" t="s">
        <v>4</v>
      </c>
      <c r="F2" s="2" t="s">
        <v>29</v>
      </c>
      <c r="G2" s="2" t="s">
        <v>23</v>
      </c>
      <c r="H2" s="2" t="s">
        <v>76</v>
      </c>
      <c r="I2" s="2" t="s">
        <v>9</v>
      </c>
    </row>
    <row r="3" spans="1:9" s="3" customFormat="1" ht="26">
      <c r="A3" s="22">
        <v>1</v>
      </c>
      <c r="B3" s="5" t="s">
        <v>39</v>
      </c>
      <c r="C3" s="5" t="s">
        <v>58</v>
      </c>
      <c r="D3" s="2" t="s">
        <v>41</v>
      </c>
      <c r="E3" s="5" t="s">
        <v>38</v>
      </c>
      <c r="F3" s="14">
        <v>84462540.319999993</v>
      </c>
      <c r="G3" s="34" t="s">
        <v>79</v>
      </c>
      <c r="H3" s="35">
        <v>84462540</v>
      </c>
      <c r="I3" s="5" t="s">
        <v>46</v>
      </c>
    </row>
    <row r="4" spans="1:9" s="7" customFormat="1" ht="26">
      <c r="A4" s="22">
        <f>A3+1</f>
        <v>2</v>
      </c>
      <c r="B4" s="5" t="s">
        <v>47</v>
      </c>
      <c r="C4" s="5" t="s">
        <v>58</v>
      </c>
      <c r="D4" s="2" t="s">
        <v>36</v>
      </c>
      <c r="E4" s="6" t="s">
        <v>37</v>
      </c>
      <c r="F4" s="20">
        <v>45682</v>
      </c>
      <c r="G4" s="34" t="s">
        <v>63</v>
      </c>
      <c r="H4" s="38">
        <v>247845739</v>
      </c>
      <c r="I4" s="39" t="s">
        <v>28</v>
      </c>
    </row>
    <row r="5" spans="1:9" s="3" customFormat="1" ht="26">
      <c r="A5" s="22">
        <f t="shared" ref="A5:A12" si="0">A4+1</f>
        <v>3</v>
      </c>
      <c r="B5" s="5" t="s">
        <v>14</v>
      </c>
      <c r="C5" s="5" t="s">
        <v>59</v>
      </c>
      <c r="D5" s="2" t="s">
        <v>41</v>
      </c>
      <c r="E5" s="6" t="s">
        <v>21</v>
      </c>
      <c r="F5" s="29"/>
      <c r="G5" s="19">
        <v>45531</v>
      </c>
      <c r="H5" s="38">
        <f>207562566.41*1.18</f>
        <v>244923828.36379999</v>
      </c>
      <c r="I5" s="39" t="s">
        <v>28</v>
      </c>
    </row>
    <row r="6" spans="1:9" s="3" customFormat="1" ht="57.75" customHeight="1">
      <c r="A6" s="22">
        <f t="shared" si="0"/>
        <v>4</v>
      </c>
      <c r="B6" s="5" t="s">
        <v>13</v>
      </c>
      <c r="C6" s="5" t="s">
        <v>58</v>
      </c>
      <c r="D6" s="2" t="s">
        <v>40</v>
      </c>
      <c r="E6" s="6" t="s">
        <v>18</v>
      </c>
      <c r="F6" s="29"/>
      <c r="G6" s="19">
        <v>45344</v>
      </c>
      <c r="H6" s="38">
        <v>168221864.22</v>
      </c>
      <c r="I6" s="23" t="s">
        <v>35</v>
      </c>
    </row>
    <row r="7" spans="1:9" s="7" customFormat="1" ht="39">
      <c r="A7" s="22">
        <f t="shared" si="0"/>
        <v>5</v>
      </c>
      <c r="B7" s="5" t="s">
        <v>14</v>
      </c>
      <c r="C7" s="5" t="s">
        <v>60</v>
      </c>
      <c r="D7" s="2" t="s">
        <v>41</v>
      </c>
      <c r="E7" s="5" t="s">
        <v>10</v>
      </c>
      <c r="F7" s="29"/>
      <c r="G7" s="19">
        <v>45365</v>
      </c>
      <c r="H7" s="40">
        <v>42682590.07</v>
      </c>
      <c r="I7" s="23" t="s">
        <v>35</v>
      </c>
    </row>
    <row r="8" spans="1:9" s="7" customFormat="1" ht="39">
      <c r="A8" s="22">
        <f t="shared" si="0"/>
        <v>6</v>
      </c>
      <c r="B8" s="8" t="s">
        <v>24</v>
      </c>
      <c r="C8" s="5" t="s">
        <v>59</v>
      </c>
      <c r="D8" s="2" t="s">
        <v>25</v>
      </c>
      <c r="E8" s="5" t="s">
        <v>26</v>
      </c>
      <c r="F8" s="6" t="s">
        <v>32</v>
      </c>
      <c r="G8" s="19">
        <v>45300</v>
      </c>
      <c r="H8" s="40">
        <f>153836869*1.18</f>
        <v>181527505.41999999</v>
      </c>
      <c r="I8" s="23" t="s">
        <v>78</v>
      </c>
    </row>
    <row r="9" spans="1:9" s="7" customFormat="1" ht="39">
      <c r="A9" s="22">
        <f t="shared" si="0"/>
        <v>7</v>
      </c>
      <c r="B9" s="13" t="s">
        <v>17</v>
      </c>
      <c r="C9" s="5" t="s">
        <v>58</v>
      </c>
      <c r="D9" s="2" t="s">
        <v>15</v>
      </c>
      <c r="E9" s="5" t="s">
        <v>19</v>
      </c>
      <c r="F9" s="6" t="s">
        <v>30</v>
      </c>
      <c r="G9" s="27">
        <v>45291</v>
      </c>
      <c r="H9" s="40">
        <v>178735232</v>
      </c>
      <c r="I9" s="23" t="s">
        <v>77</v>
      </c>
    </row>
    <row r="10" spans="1:9" s="3" customFormat="1" ht="39">
      <c r="A10" s="22">
        <f t="shared" si="0"/>
        <v>8</v>
      </c>
      <c r="B10" s="13" t="s">
        <v>16</v>
      </c>
      <c r="C10" s="5" t="s">
        <v>58</v>
      </c>
      <c r="D10" s="2" t="s">
        <v>15</v>
      </c>
      <c r="E10" s="5" t="s">
        <v>20</v>
      </c>
      <c r="F10" s="5" t="s">
        <v>30</v>
      </c>
      <c r="G10" s="19">
        <v>45286</v>
      </c>
      <c r="H10" s="40">
        <v>110599174</v>
      </c>
      <c r="I10" s="23" t="s">
        <v>78</v>
      </c>
    </row>
    <row r="11" spans="1:9" s="3" customFormat="1" ht="52">
      <c r="A11" s="22">
        <f t="shared" si="0"/>
        <v>9</v>
      </c>
      <c r="B11" s="8" t="s">
        <v>33</v>
      </c>
      <c r="C11" s="5" t="s">
        <v>58</v>
      </c>
      <c r="D11" s="2" t="s">
        <v>27</v>
      </c>
      <c r="E11" s="5" t="s">
        <v>34</v>
      </c>
      <c r="F11" s="5" t="s">
        <v>31</v>
      </c>
      <c r="G11" s="19">
        <v>45035</v>
      </c>
      <c r="H11" s="40">
        <v>53398356</v>
      </c>
      <c r="I11" s="23" t="s">
        <v>8</v>
      </c>
    </row>
    <row r="12" spans="1:9" s="7" customFormat="1" ht="45.5" customHeight="1">
      <c r="A12" s="22">
        <f t="shared" si="0"/>
        <v>10</v>
      </c>
      <c r="B12" s="8" t="s">
        <v>11</v>
      </c>
      <c r="C12" s="5" t="s">
        <v>59</v>
      </c>
      <c r="D12" s="2" t="s">
        <v>5</v>
      </c>
      <c r="E12" s="5" t="s">
        <v>6</v>
      </c>
      <c r="F12" s="6" t="s">
        <v>30</v>
      </c>
      <c r="G12" s="19">
        <v>44165</v>
      </c>
      <c r="H12" s="40">
        <v>152308620.30000001</v>
      </c>
      <c r="I12" s="23" t="s">
        <v>8</v>
      </c>
    </row>
    <row r="13" spans="1:9" s="7" customFormat="1">
      <c r="A13" s="23"/>
      <c r="B13" s="9"/>
      <c r="C13" s="9"/>
      <c r="D13" s="29"/>
      <c r="E13" s="6"/>
      <c r="F13" s="5"/>
      <c r="G13" s="6"/>
      <c r="H13" s="14"/>
      <c r="I13" s="10"/>
    </row>
    <row r="14" spans="1:9" s="7" customFormat="1">
      <c r="A14" s="4"/>
      <c r="B14" s="10"/>
      <c r="C14" s="10"/>
      <c r="D14" s="30"/>
      <c r="E14" s="4"/>
      <c r="F14" s="4"/>
      <c r="G14" s="4"/>
      <c r="H14" s="21">
        <f>SUM(H3:H12)</f>
        <v>1464705449.3738</v>
      </c>
      <c r="I14" s="4"/>
    </row>
    <row r="15" spans="1:9" s="7" customFormat="1">
      <c r="A15" s="11"/>
      <c r="D15" s="17"/>
      <c r="E15" s="11"/>
      <c r="F15" s="11"/>
      <c r="G15" s="11"/>
      <c r="H15" s="11"/>
      <c r="I15" s="11"/>
    </row>
    <row r="16" spans="1:9" s="7" customFormat="1">
      <c r="A16" s="11"/>
      <c r="D16" s="17"/>
      <c r="E16" s="11"/>
      <c r="F16" s="11"/>
      <c r="G16" s="11"/>
      <c r="H16" s="11"/>
      <c r="I16" s="11"/>
    </row>
    <row r="17" spans="1:9" s="7" customFormat="1">
      <c r="A17" s="11"/>
      <c r="D17" s="17"/>
      <c r="E17" s="11"/>
      <c r="F17" s="11"/>
      <c r="G17" s="11"/>
      <c r="H17" s="11"/>
      <c r="I17" s="11"/>
    </row>
    <row r="18" spans="1:9" s="7" customFormat="1">
      <c r="A18" s="11"/>
      <c r="D18" s="17"/>
      <c r="E18" s="11"/>
      <c r="F18" s="11"/>
      <c r="G18" s="11"/>
      <c r="H18" s="11"/>
      <c r="I18" s="11"/>
    </row>
    <row r="19" spans="1:9" s="7" customFormat="1">
      <c r="A19" s="11"/>
      <c r="D19" s="17"/>
      <c r="E19" s="11"/>
      <c r="F19" s="11"/>
      <c r="G19" s="11"/>
      <c r="H19" s="11"/>
      <c r="I19" s="11"/>
    </row>
    <row r="20" spans="1:9" s="7" customFormat="1">
      <c r="A20" s="11"/>
      <c r="D20" s="17"/>
      <c r="E20" s="11"/>
      <c r="F20" s="11"/>
      <c r="G20" s="11"/>
      <c r="H20" s="11"/>
      <c r="I20" s="11"/>
    </row>
    <row r="21" spans="1:9" s="7" customFormat="1">
      <c r="A21" s="11"/>
      <c r="D21" s="17"/>
      <c r="E21" s="11"/>
      <c r="F21" s="11"/>
      <c r="G21" s="11"/>
      <c r="H21" s="11"/>
      <c r="I21" s="11"/>
    </row>
    <row r="22" spans="1:9">
      <c r="B22" s="7"/>
      <c r="C22" s="7"/>
      <c r="D22" s="17"/>
      <c r="E22" s="11"/>
      <c r="F22" s="11"/>
      <c r="G22" s="11"/>
      <c r="H22" s="11"/>
      <c r="I22" s="11"/>
    </row>
    <row r="23" spans="1:9">
      <c r="B23" s="7"/>
      <c r="C23" s="7"/>
      <c r="D23" s="17"/>
      <c r="E23" s="11"/>
      <c r="F23" s="11"/>
      <c r="G23" s="11"/>
      <c r="H23" s="11"/>
      <c r="I23" s="11"/>
    </row>
    <row r="24" spans="1:9">
      <c r="B24" s="7"/>
      <c r="C24" s="7"/>
      <c r="D24" s="17"/>
      <c r="E24" s="11"/>
      <c r="F24" s="11"/>
      <c r="G24" s="11"/>
      <c r="H24" s="11"/>
      <c r="I24" s="11"/>
    </row>
  </sheetData>
  <autoFilter ref="A2:I12" xr:uid="{00000000-0009-0000-0000-000001000000}"/>
  <sortState xmlns:xlrd2="http://schemas.microsoft.com/office/spreadsheetml/2017/richdata2" ref="B6:I12">
    <sortCondition descending="1" ref="G6:G12"/>
  </sortState>
  <mergeCells count="1">
    <mergeCell ref="A1:I1"/>
  </mergeCells>
  <phoneticPr fontId="7" type="noConversion"/>
  <conditionalFormatting sqref="E5:E1048576 E1:E2">
    <cfRule type="duplicateValues" dxfId="3" priority="14"/>
  </conditionalFormatting>
  <conditionalFormatting sqref="F3">
    <cfRule type="duplicateValues" dxfId="2" priority="3"/>
  </conditionalFormatting>
  <conditionalFormatting sqref="F4:H4">
    <cfRule type="duplicateValues" dxfId="1" priority="9"/>
  </conditionalFormatting>
  <conditionalFormatting sqref="G3">
    <cfRule type="duplicateValues" dxfId="0" priority="16"/>
  </conditionalFormatting>
  <pageMargins left="0.70866141732283472" right="0.70866141732283472" top="0.74803149606299213" bottom="0.74803149606299213" header="0.31496062992125984" footer="0.31496062992125984"/>
  <pageSetup scale="63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HeadingPairs>
  <TitlesOfParts>
    <vt:vector size="6" baseType="lpstr">
      <vt:lpstr>Current</vt:lpstr>
      <vt:lpstr>Completed</vt:lpstr>
      <vt:lpstr>Completed!Print_Area</vt:lpstr>
      <vt:lpstr>Current!Print_Area</vt:lpstr>
      <vt:lpstr>Completed!Print_Titles</vt:lpstr>
      <vt:lpstr>Current!Print_Titles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Abhishek.m</dc:creator>
  <cp:lastModifiedBy>shekhar saurabh</cp:lastModifiedBy>
  <cp:lastPrinted>2025-10-17T09:38:46Z</cp:lastPrinted>
  <dcterms:created xsi:type="dcterms:W3CDTF">2021-02-10T02:17:17Z</dcterms:created>
  <dcterms:modified xsi:type="dcterms:W3CDTF">2025-10-17T09:38:48Z</dcterms:modified>
</cp:coreProperties>
</file>